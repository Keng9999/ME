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autoCompressPictures="0"/>
  <mc:AlternateContent xmlns:mc="http://schemas.openxmlformats.org/markup-compatibility/2006">
    <mc:Choice Requires="x15">
      <x15ac:absPath xmlns:x15ac="http://schemas.microsoft.com/office/spreadsheetml/2010/11/ac" url="C:\Keng\personal\Trip\"/>
    </mc:Choice>
  </mc:AlternateContent>
  <bookViews>
    <workbookView xWindow="0" yWindow="0" windowWidth="20490" windowHeight="7065" tabRatio="500" firstSheet="1" activeTab="1"/>
  </bookViews>
  <sheets>
    <sheet name="Dec" sheetId="1" r:id="rId1"/>
    <sheet name="2018 Dec Spain" sheetId="2" r:id="rId2"/>
    <sheet name="V3" sheetId="3" r:id="rId3"/>
    <sheet name="Lookup List" sheetId="4" r:id="rId4"/>
    <sheet name="Transport" sheetId="5" r:id="rId5"/>
    <sheet name="Hotels" sheetId="6" r:id="rId6"/>
    <sheet name="Things to do" sheetId="7" r:id="rId7"/>
    <sheet name="Barca" sheetId="8" r:id="rId8"/>
  </sheets>
  <calcPr calcId="171027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" i="2" l="1"/>
  <c r="F17" i="6"/>
  <c r="F16" i="6"/>
  <c r="E15" i="6"/>
  <c r="F15" i="6"/>
  <c r="F14" i="6"/>
  <c r="C3" i="6"/>
  <c r="E3" i="6"/>
  <c r="E4" i="6"/>
  <c r="E5" i="6"/>
  <c r="E6" i="6"/>
  <c r="E7" i="6"/>
  <c r="E12" i="6"/>
  <c r="F12" i="6"/>
  <c r="D12" i="6"/>
  <c r="E10" i="6"/>
  <c r="C7" i="6"/>
  <c r="C6" i="6"/>
  <c r="C5" i="6"/>
  <c r="C4" i="6"/>
  <c r="N17" i="5"/>
  <c r="N4" i="5"/>
  <c r="M7" i="5"/>
  <c r="E8" i="5"/>
  <c r="M8" i="5"/>
  <c r="M10" i="5"/>
  <c r="M11" i="5"/>
  <c r="M12" i="5"/>
  <c r="M13" i="5"/>
  <c r="M15" i="5"/>
  <c r="N15" i="5"/>
  <c r="O20" i="5"/>
  <c r="I11" i="5"/>
  <c r="G9" i="5"/>
  <c r="I7" i="5"/>
  <c r="O4" i="5"/>
  <c r="I1" i="3"/>
  <c r="F7" i="1"/>
  <c r="E7" i="1"/>
  <c r="D7" i="1"/>
  <c r="C7" i="1"/>
  <c r="B7" i="1"/>
  <c r="H5" i="1"/>
  <c r="G5" i="1"/>
  <c r="F5" i="1"/>
  <c r="E5" i="1"/>
  <c r="D5" i="1"/>
  <c r="C5" i="1"/>
  <c r="B5" i="1"/>
  <c r="H3" i="1"/>
  <c r="G3" i="1"/>
  <c r="F3" i="1"/>
  <c r="E3" i="1"/>
  <c r="D3" i="1"/>
  <c r="C3" i="1"/>
  <c r="B3" i="1"/>
</calcChain>
</file>

<file path=xl/comments1.xml><?xml version="1.0" encoding="utf-8"?>
<comments xmlns="http://schemas.openxmlformats.org/spreadsheetml/2006/main">
  <authors>
    <author/>
  </authors>
  <commentList>
    <comment ref="C4" authorId="0" shapeId="0">
      <text>
        <r>
          <rPr>
            <sz val="11"/>
            <color rgb="FF000000"/>
            <rFont val="Century Gothic"/>
          </rPr>
          <t>This list populates the options that appear in the pop-up list for the year on the January sheet. To add additional years, begin typing in the cell directly beneath the last existing entry and the list will automatically expand.</t>
        </r>
      </text>
    </comment>
  </commentList>
</comments>
</file>

<file path=xl/sharedStrings.xml><?xml version="1.0" encoding="utf-8"?>
<sst xmlns="http://schemas.openxmlformats.org/spreadsheetml/2006/main" count="331" uniqueCount="218">
  <si>
    <t>Dec</t>
  </si>
  <si>
    <t xml:space="preserve">Day </t>
  </si>
  <si>
    <t>Date</t>
  </si>
  <si>
    <t>Location</t>
  </si>
  <si>
    <t>Transportation</t>
  </si>
  <si>
    <t xml:space="preserve">Hotel </t>
  </si>
  <si>
    <t>Places to Visit</t>
  </si>
  <si>
    <t xml:space="preserve">Item </t>
  </si>
  <si>
    <t>Cost $ (RM)</t>
  </si>
  <si>
    <t xml:space="preserve">14/12/2018, Friday </t>
  </si>
  <si>
    <t>KL &gt; Barcelona</t>
  </si>
  <si>
    <t xml:space="preserve">Flight Etihad  
KLIA &gt; Abu Dhabi
EY411
Departure 19:15
Arrival 22:20
</t>
  </si>
  <si>
    <t>Airfare</t>
  </si>
  <si>
    <t xml:space="preserve">15/12/2018, Saturday </t>
  </si>
  <si>
    <t>Barca</t>
  </si>
  <si>
    <t>Abu Dhabi &gt; El Prat Airport, Barcelona 
EY49
Departure 02:20
Arrival 7:15
El Peat Airport &gt; Placa de Sants (Cosmo)
Buy Halo Barcelona Travel Card (15euro for 2 days)</t>
  </si>
  <si>
    <t xml:space="preserve">Check in Cosmo apartment Sants
</t>
  </si>
  <si>
    <t>Sunday</t>
  </si>
  <si>
    <t>Check in 15.00
Sants Estacio &gt; Liceu (La Rambla)
Dinner - Restaurant Viana
 Barcelona @ 8pm</t>
  </si>
  <si>
    <t>Cosmo apartment Saints</t>
  </si>
  <si>
    <t>Monday</t>
  </si>
  <si>
    <t xml:space="preserve">16/12/2018, Sunday </t>
  </si>
  <si>
    <t>Cosmo</t>
  </si>
  <si>
    <t>La Sagrada Familia (29euro)
La Pedreda (Casa Mila, 22euro)</t>
  </si>
  <si>
    <t xml:space="preserve"> 17/12/2018, Monday</t>
  </si>
  <si>
    <t>Barca &gt; Madrid</t>
  </si>
  <si>
    <t>Train 3 1/2hrs</t>
  </si>
  <si>
    <t>Check out Cosmo
Check in Hostal Residencia Fernandez</t>
  </si>
  <si>
    <t>Tuesday</t>
  </si>
  <si>
    <t>Hostal Residencia Fenandez</t>
  </si>
  <si>
    <t>Wednesday</t>
  </si>
  <si>
    <t>Thursday</t>
  </si>
  <si>
    <t>Friday</t>
  </si>
  <si>
    <t>Saturday</t>
  </si>
  <si>
    <t xml:space="preserve">18/12/2018, Tuesday </t>
  </si>
  <si>
    <t>Madrid</t>
  </si>
  <si>
    <t>Residencia Fernandez</t>
  </si>
  <si>
    <t>Train</t>
  </si>
  <si>
    <t>19/12/2018, Wednesday</t>
  </si>
  <si>
    <t>20/12/2018, Thursday</t>
  </si>
  <si>
    <t xml:space="preserve">Madrid &gt; La Linea </t>
  </si>
  <si>
    <t>Train (Atocha to San Roque La Linea)
 [Altaria train route 5 hrs]</t>
  </si>
  <si>
    <t>Check out Hostal Residencia
Check in  Hostal La Campana La Linea</t>
  </si>
  <si>
    <t xml:space="preserve">Travel day </t>
  </si>
  <si>
    <t>Hostal La Campana</t>
  </si>
  <si>
    <t>Madrid &gt; Malaga &gt; Gilbraltar</t>
  </si>
  <si>
    <t>Train &amp; Bus total 8 hrs</t>
  </si>
  <si>
    <t>Check out Hostal Residencia
Check in ...</t>
  </si>
  <si>
    <t>21/12/2018, Friday</t>
  </si>
  <si>
    <t>Gibraltar</t>
  </si>
  <si>
    <t xml:space="preserve">Day Trip </t>
  </si>
  <si>
    <t>22/12/2018, Saturday</t>
  </si>
  <si>
    <t>Tangier</t>
  </si>
  <si>
    <t>Gibraltar - Tangier</t>
  </si>
  <si>
    <t>Bus &amp; Ferry total 5 hrs</t>
  </si>
  <si>
    <t xml:space="preserve">Rock of Gibraltar </t>
  </si>
  <si>
    <t>23/12/2018, Sunday</t>
  </si>
  <si>
    <t>La Linea/Lisbon</t>
  </si>
  <si>
    <t>Alsa Bus 12 hrs 645pm. 38 euro/pax</t>
  </si>
  <si>
    <t>Check out Hostal La Campana La Linea</t>
  </si>
  <si>
    <t>645pm 38 Euro</t>
  </si>
  <si>
    <t>overnight in bus</t>
  </si>
  <si>
    <t>24/12/2018, Monday</t>
  </si>
  <si>
    <t>Lisbon</t>
  </si>
  <si>
    <t>Tangier &gt; Seville</t>
  </si>
  <si>
    <t>arrive 6am</t>
  </si>
  <si>
    <t>Check In: SANA Capitol Hotel</t>
  </si>
  <si>
    <t>Ferry &amp; Bus total 6 hrs</t>
  </si>
  <si>
    <t>SANA Capitol Hotel</t>
  </si>
  <si>
    <t>25/12/2018, Tuesday</t>
  </si>
  <si>
    <t>Seville &gt; Lisbon</t>
  </si>
  <si>
    <t>Rua Augusta Arch
Portas Do Sol, Graca, Santa Luzia miradouros
Belem Tower (6euro)</t>
  </si>
  <si>
    <t>Flight - 1hr 15 mins TAP Portugal TP1105</t>
  </si>
  <si>
    <t>26/12/2018, Wednesday</t>
  </si>
  <si>
    <t>San Jorge Castle</t>
  </si>
  <si>
    <t>27/12/2018, Thursday</t>
  </si>
  <si>
    <t>Lisbon &gt; Barca</t>
  </si>
  <si>
    <t>Flight- 1.40pm-4.35pm Vueling</t>
  </si>
  <si>
    <t>28/12/2018, Friday</t>
  </si>
  <si>
    <t>Check in: Ramblas Hotel</t>
  </si>
  <si>
    <t>Flight- 2hrs</t>
  </si>
  <si>
    <t>Ramblas Hotel</t>
  </si>
  <si>
    <t>29/12/2018, Saturday</t>
  </si>
  <si>
    <t>30/12/2018, Sunday</t>
  </si>
  <si>
    <t>Barca &gt; KL</t>
  </si>
  <si>
    <t>Flight Etihad
El Prat Airport, Barcelona &gt; Abu Dhabi
EY50
Departure 10:10
Arrival 20:00
Abu Dahbi &gt; KLIA
EY418
Departure 22:30</t>
  </si>
  <si>
    <t>Check out: Ramblas Hotel</t>
  </si>
  <si>
    <t>31/12/2018, Monday</t>
  </si>
  <si>
    <t>KL</t>
  </si>
  <si>
    <t>Arrival 10:00</t>
  </si>
  <si>
    <t>Year</t>
  </si>
  <si>
    <t>rm</t>
  </si>
  <si>
    <t>flight</t>
  </si>
  <si>
    <t>RM</t>
  </si>
  <si>
    <t>train</t>
  </si>
  <si>
    <t>duration</t>
  </si>
  <si>
    <t>bus</t>
  </si>
  <si>
    <t>Ferry</t>
  </si>
  <si>
    <t>Bar/Mad</t>
  </si>
  <si>
    <t>Renfe: (7AM) / Vuellig (8.45am)</t>
  </si>
  <si>
    <t>2h 30 mins to 3 hrs</t>
  </si>
  <si>
    <t>1h 30 mins</t>
  </si>
  <si>
    <t>Mad/LA Linea</t>
  </si>
  <si>
    <t>Renfe (7am)</t>
  </si>
  <si>
    <t>3hrs</t>
  </si>
  <si>
    <t>LA Linea/Lisbon</t>
  </si>
  <si>
    <t>Alsa 645pm</t>
  </si>
  <si>
    <t>lisbon/Bar</t>
  </si>
  <si>
    <t>Vueling</t>
  </si>
  <si>
    <t>2 hrs</t>
  </si>
  <si>
    <t>Gil day tour</t>
  </si>
  <si>
    <t>Tangier day tour</t>
  </si>
  <si>
    <t>KL - Bar (725pm flight)</t>
  </si>
  <si>
    <t>Bar (715am arrive)</t>
  </si>
  <si>
    <t>Hotels</t>
  </si>
  <si>
    <t>Total</t>
  </si>
  <si>
    <t>tangier to gil : Royal Air Maroc</t>
  </si>
  <si>
    <t>Malaga centro train station</t>
  </si>
  <si>
    <t>21 Dec - 23 Dec (RM680/Return)</t>
  </si>
  <si>
    <t>Bar</t>
  </si>
  <si>
    <t>Tour4fun</t>
  </si>
  <si>
    <t>gibraltar</t>
  </si>
  <si>
    <t>Bar/Mad (train)</t>
  </si>
  <si>
    <t>Mad</t>
  </si>
  <si>
    <t>Mad/Malaga (Train)/CDS - Marbella</t>
  </si>
  <si>
    <t>Julie Travel</t>
  </si>
  <si>
    <t>CDS - Marbella/Gil/CDS</t>
  </si>
  <si>
    <t>CDS - MArbella/Tan/CDS</t>
  </si>
  <si>
    <t>Mad - Tan : RyanAir: RM350</t>
  </si>
  <si>
    <t>tourtomorocco</t>
  </si>
  <si>
    <t>Tangier to Gil : ferry (FRS Ferry Service)</t>
  </si>
  <si>
    <t>rm250/ return</t>
  </si>
  <si>
    <t>CDS - Marbella/ Malaga</t>
  </si>
  <si>
    <t>Malaga/Lisbon (Flight)</t>
  </si>
  <si>
    <t>Lis/Bar</t>
  </si>
  <si>
    <t>Notes:</t>
  </si>
  <si>
    <t>Bar/KL (10am flight)</t>
  </si>
  <si>
    <t>20 Dec - 23 Dec RM680/return</t>
  </si>
  <si>
    <t>per night</t>
  </si>
  <si>
    <t># of nights</t>
  </si>
  <si>
    <t>usd</t>
  </si>
  <si>
    <t>La Linea</t>
  </si>
  <si>
    <t>2 rooms</t>
  </si>
  <si>
    <t>1 room</t>
  </si>
  <si>
    <t>lisbon</t>
  </si>
  <si>
    <t>porto</t>
  </si>
  <si>
    <t>100-200</t>
  </si>
  <si>
    <t>Hotel</t>
  </si>
  <si>
    <t>$</t>
  </si>
  <si>
    <t>Avg/night</t>
  </si>
  <si>
    <t>15 to 17 Dec</t>
  </si>
  <si>
    <t>Cosmo Apartment Sants</t>
  </si>
  <si>
    <t>17 to 20 Dec</t>
  </si>
  <si>
    <t>Residentia</t>
  </si>
  <si>
    <t>20 to 23 Dec</t>
  </si>
  <si>
    <t>La Campana</t>
  </si>
  <si>
    <t>24 to 27 Dec</t>
  </si>
  <si>
    <t>SANA Capitol hotel</t>
  </si>
  <si>
    <t>27 to 30 Dec</t>
  </si>
  <si>
    <t>madrid</t>
  </si>
  <si>
    <t>NH Madrid Nacional (1 room with 2 twin beds)</t>
  </si>
  <si>
    <t>rm 880</t>
  </si>
  <si>
    <t>Hostal Residencia Fernandez (2 rooms)</t>
  </si>
  <si>
    <t>rm1000</t>
  </si>
  <si>
    <t>Aspasios Atocha Apartments, Madrid, Spain (a aptment for 4 pax)</t>
  </si>
  <si>
    <t>rm980</t>
  </si>
  <si>
    <t>Family, Calle de las Huertas, 65, 28014 Madrid, Spain</t>
  </si>
  <si>
    <t>rm711</t>
  </si>
  <si>
    <t>1km away</t>
  </si>
  <si>
    <t>Hotel Mediodia (1 room 2 tiwn beds)</t>
  </si>
  <si>
    <t>rm673</t>
  </si>
  <si>
    <t>Malaga</t>
  </si>
  <si>
    <t>iloftmalaga Centro Alameda</t>
  </si>
  <si>
    <t>Hotel Goartin</t>
  </si>
  <si>
    <t>Hotel Las Americas</t>
  </si>
  <si>
    <t>Pension Terminal</t>
  </si>
  <si>
    <t>Station2b (1 room with 3 beds)</t>
  </si>
  <si>
    <t>rm255</t>
  </si>
  <si>
    <t>Marbella</t>
  </si>
  <si>
    <t>Hotel Central Marbella</t>
  </si>
  <si>
    <t>Pension Aduar Marbella</t>
  </si>
  <si>
    <t>rm154</t>
  </si>
  <si>
    <t>Hotel Fuerte Marbella</t>
  </si>
  <si>
    <t>Hostal Tak</t>
  </si>
  <si>
    <t>rm217</t>
  </si>
  <si>
    <t>Alfama Lisbon Lounge Suites</t>
  </si>
  <si>
    <t>Alfama entry</t>
  </si>
  <si>
    <t>Lisboa Arte Hostel</t>
  </si>
  <si>
    <t>sight see</t>
  </si>
  <si>
    <t>eat</t>
  </si>
  <si>
    <t>shop</t>
  </si>
  <si>
    <t>ride</t>
  </si>
  <si>
    <t>Barcelona</t>
  </si>
  <si>
    <t>Gaudi, Nou Camp</t>
  </si>
  <si>
    <t>Catalana, Viana, Louro</t>
  </si>
  <si>
    <t>La Rambla</t>
  </si>
  <si>
    <t xml:space="preserve">Bull fight, </t>
  </si>
  <si>
    <t>Costa Del Sol</t>
  </si>
  <si>
    <t>Gilbraltar</t>
  </si>
  <si>
    <t>Rock</t>
  </si>
  <si>
    <t>Camel</t>
  </si>
  <si>
    <t>Oceanarium, Alfama, Torre de Belem</t>
  </si>
  <si>
    <t>Porto</t>
  </si>
  <si>
    <t>Ponte de Dom Luis I</t>
  </si>
  <si>
    <t>El Prat Airport - Sants Train Station (R2N)</t>
  </si>
  <si>
    <t>30 mins</t>
  </si>
  <si>
    <t>Sants Train Station - PI Catalunya (R1/3/4)</t>
  </si>
  <si>
    <t>16 mins</t>
  </si>
  <si>
    <t>LA Rambla</t>
  </si>
  <si>
    <t>EUR365.59</t>
  </si>
  <si>
    <t>EUR156</t>
  </si>
  <si>
    <t>EUR431.96</t>
  </si>
  <si>
    <t>EUR 202.50</t>
  </si>
  <si>
    <t>trip</t>
  </si>
  <si>
    <t>Museo Del Prado
Coffee at Toma Café
Palacio de Communicaciones &gt;&gt; post office
Mercado San Antón</t>
  </si>
  <si>
    <t>Market of Anton Martin &gt;&gt;Yokaloka (sushi) 1-4pm
Takos Al Pastor &gt;&gt; tacos for 1euro
Toledo &gt;&gt; Half day trip (train 25 mins)</t>
  </si>
  <si>
    <r>
      <t xml:space="preserve">Check in 15.00
Sants Estacio &gt; Liceu (La Rambla)
</t>
    </r>
    <r>
      <rPr>
        <sz val="8"/>
        <color rgb="FFFF0000"/>
        <rFont val="Arial"/>
        <family val="2"/>
      </rPr>
      <t>Dinner - Restaurant Viana
 Barcelona @ 8pm</t>
    </r>
  </si>
  <si>
    <r>
      <t xml:space="preserve">Chhocolateris San Gine's &gt;&gt;hot chocolate &amp; Churros
Plaza Mayor
Royal Palace 
Santoago  Bernabeu Satdium
Market of San Miguel
Almudena Cathedral &gt;&gt; largest church in Madrid , near Royal Palace
Plaza de la Villa
Gran Via
La Mallorquina &gt;&gt; coffee &amp; 
</t>
    </r>
    <r>
      <rPr>
        <sz val="8"/>
        <color rgb="FFFF0000"/>
        <rFont val="Arial"/>
        <family val="2"/>
      </rPr>
      <t>Botin for dinner @8pm</t>
    </r>
    <r>
      <rPr>
        <sz val="8"/>
        <rFont val="Arial"/>
        <family val="2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</si>
</sst>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RM&quot;#,##0_);[Red]\(&quot;RM&quot;#,##0\)"/>
    <numFmt numFmtId="165" formatCode="mmmm\ yyyy"/>
    <numFmt numFmtId="166" formatCode="d"/>
  </numFmts>
  <fonts count="18">
    <font>
      <sz val="11"/>
      <color rgb="FF000000"/>
      <name val="Century Gothic"/>
    </font>
    <font>
      <sz val="11"/>
      <name val="Century Gothic"/>
    </font>
    <font>
      <sz val="11"/>
      <name val="Arial"/>
    </font>
    <font>
      <b/>
      <sz val="28"/>
      <color rgb="FF595959"/>
      <name val="Century Gothic"/>
    </font>
    <font>
      <sz val="11"/>
      <name val="Century Gothic"/>
    </font>
    <font>
      <b/>
      <sz val="11"/>
      <color rgb="FFFFFFFF"/>
      <name val="Century Gothic"/>
    </font>
    <font>
      <sz val="11"/>
      <color rgb="FF000000"/>
      <name val="&quot;docs-Century Gothic&quot;"/>
    </font>
    <font>
      <sz val="11"/>
      <color rgb="FF3F3F3F"/>
      <name val="Arial"/>
    </font>
    <font>
      <sz val="11"/>
      <color rgb="FF000000"/>
      <name val="Century Gothic"/>
    </font>
    <font>
      <sz val="11"/>
      <color rgb="FF3F3F3F"/>
      <name val="Century Gothic"/>
    </font>
    <font>
      <sz val="10"/>
      <color rgb="FF3F3F3F"/>
      <name val="Century Gothic"/>
    </font>
    <font>
      <sz val="11"/>
      <color rgb="FFFFFFFF"/>
      <name val="Century Gothic"/>
    </font>
    <font>
      <sz val="8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3A299"/>
        <bgColor rgb="FF93A299"/>
      </patternFill>
    </fill>
    <fill>
      <patternFill patternType="solid">
        <fgColor rgb="FFD3D9D6"/>
        <bgColor rgb="FFD3D9D6"/>
      </patternFill>
    </fill>
    <fill>
      <patternFill patternType="solid">
        <fgColor rgb="FFECEDD1"/>
        <bgColor rgb="FFECEDD1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6B7C72"/>
      </left>
      <right style="thin">
        <color rgb="FFBEC7C1"/>
      </right>
      <top style="medium">
        <color rgb="FF6B7C72"/>
      </top>
      <bottom style="thin">
        <color rgb="FFBEC7C1"/>
      </bottom>
      <diagonal/>
    </border>
    <border>
      <left style="thin">
        <color rgb="FFBEC7C1"/>
      </left>
      <right style="thin">
        <color rgb="FFBEC7C1"/>
      </right>
      <top style="medium">
        <color rgb="FF6B7C72"/>
      </top>
      <bottom style="thin">
        <color rgb="FFBEC7C1"/>
      </bottom>
      <diagonal/>
    </border>
    <border>
      <left style="thin">
        <color rgb="FFBEC7C1"/>
      </left>
      <right style="medium">
        <color rgb="FF6B7C72"/>
      </right>
      <top style="medium">
        <color rgb="FF6B7C72"/>
      </top>
      <bottom style="thin">
        <color rgb="FFBEC7C1"/>
      </bottom>
      <diagonal/>
    </border>
    <border>
      <left style="medium">
        <color rgb="FF6B7C72"/>
      </left>
      <right style="thin">
        <color rgb="FFBEC7C1"/>
      </right>
      <top style="thin">
        <color rgb="FFBEC7C1"/>
      </top>
      <bottom style="thin">
        <color rgb="FFBEC7C1"/>
      </bottom>
      <diagonal/>
    </border>
    <border>
      <left style="thin">
        <color rgb="FFBEC7C1"/>
      </left>
      <right style="thin">
        <color rgb="FFBEC7C1"/>
      </right>
      <top style="thin">
        <color rgb="FFBEC7C1"/>
      </top>
      <bottom style="thin">
        <color rgb="FFBEC7C1"/>
      </bottom>
      <diagonal/>
    </border>
    <border>
      <left style="thin">
        <color rgb="FFBEC7C1"/>
      </left>
      <right style="medium">
        <color rgb="FF6B7C72"/>
      </right>
      <top style="thin">
        <color rgb="FFBEC7C1"/>
      </top>
      <bottom style="thin">
        <color rgb="FFBEC7C1"/>
      </bottom>
      <diagonal/>
    </border>
    <border>
      <left style="medium">
        <color rgb="FF6B7C72"/>
      </left>
      <right style="thin">
        <color rgb="FFBEC7C1"/>
      </right>
      <top/>
      <bottom style="thin">
        <color rgb="FFBEC7C1"/>
      </bottom>
      <diagonal/>
    </border>
    <border>
      <left style="thin">
        <color rgb="FFBEC7C1"/>
      </left>
      <right style="thin">
        <color rgb="FFBEC7C1"/>
      </right>
      <top/>
      <bottom style="thin">
        <color rgb="FFBEC7C1"/>
      </bottom>
      <diagonal/>
    </border>
    <border>
      <left style="thin">
        <color rgb="FFBEC7C1"/>
      </left>
      <right/>
      <top/>
      <bottom style="thin">
        <color rgb="FFBEC7C1"/>
      </bottom>
      <diagonal/>
    </border>
    <border>
      <left/>
      <right/>
      <top/>
      <bottom style="thin">
        <color rgb="FFBEC7C1"/>
      </bottom>
      <diagonal/>
    </border>
    <border>
      <left/>
      <right style="medium">
        <color rgb="FF6B7C72"/>
      </right>
      <top/>
      <bottom style="thin">
        <color rgb="FFBEC7C1"/>
      </bottom>
      <diagonal/>
    </border>
    <border>
      <left style="medium">
        <color rgb="FF6B7C72"/>
      </left>
      <right style="thin">
        <color rgb="FFBEC7C1"/>
      </right>
      <top style="thin">
        <color rgb="FFBEC7C1"/>
      </top>
      <bottom style="medium">
        <color rgb="FF6B7C72"/>
      </bottom>
      <diagonal/>
    </border>
    <border>
      <left style="thin">
        <color rgb="FFBEC7C1"/>
      </left>
      <right style="thin">
        <color rgb="FFBEC7C1"/>
      </right>
      <top style="thin">
        <color rgb="FFBEC7C1"/>
      </top>
      <bottom style="medium">
        <color rgb="FF6B7C72"/>
      </bottom>
      <diagonal/>
    </border>
    <border>
      <left style="thin">
        <color rgb="FFBEC7C1"/>
      </left>
      <right/>
      <top style="thin">
        <color rgb="FFBEC7C1"/>
      </top>
      <bottom style="medium">
        <color rgb="FF6B7C72"/>
      </bottom>
      <diagonal/>
    </border>
    <border>
      <left/>
      <right/>
      <top style="thin">
        <color rgb="FFBEC7C1"/>
      </top>
      <bottom style="medium">
        <color rgb="FF6B7C72"/>
      </bottom>
      <diagonal/>
    </border>
    <border>
      <left/>
      <right style="medium">
        <color rgb="FF6B7C72"/>
      </right>
      <top style="thin">
        <color rgb="FFBEC7C1"/>
      </top>
      <bottom style="medium">
        <color rgb="FF6B7C7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 applyFont="1" applyAlignment="1"/>
    <xf numFmtId="0" fontId="1" fillId="0" borderId="0" xfId="0" applyFont="1" applyAlignment="1"/>
    <xf numFmtId="0" fontId="2" fillId="2" borderId="1" xfId="0" applyFont="1" applyFill="1" applyBorder="1"/>
    <xf numFmtId="4" fontId="1" fillId="0" borderId="0" xfId="0" applyNumberFormat="1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2" borderId="1" xfId="0" applyFont="1" applyFill="1" applyBorder="1"/>
    <xf numFmtId="0" fontId="5" fillId="3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left" vertical="center"/>
    </xf>
    <xf numFmtId="0" fontId="4" fillId="0" borderId="0" xfId="0" applyFont="1"/>
    <xf numFmtId="166" fontId="7" fillId="0" borderId="8" xfId="0" applyNumberFormat="1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0" fillId="2" borderId="0" xfId="0" applyFont="1" applyFill="1" applyAlignment="1">
      <alignment horizontal="left"/>
    </xf>
    <xf numFmtId="166" fontId="9" fillId="0" borderId="9" xfId="0" applyNumberFormat="1" applyFont="1" applyBorder="1" applyAlignment="1">
      <alignment horizontal="left" vertical="center" wrapText="1"/>
    </xf>
    <xf numFmtId="166" fontId="9" fillId="0" borderId="10" xfId="0" applyNumberFormat="1" applyFont="1" applyBorder="1" applyAlignment="1">
      <alignment horizontal="left" vertical="center" wrapText="1"/>
    </xf>
    <xf numFmtId="0" fontId="2" fillId="0" borderId="0" xfId="0" applyFont="1"/>
    <xf numFmtId="0" fontId="10" fillId="4" borderId="8" xfId="0" applyFont="1" applyFill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2" borderId="9" xfId="0" applyFont="1" applyFill="1" applyBorder="1" applyAlignment="1">
      <alignment horizontal="left" vertical="center" wrapText="1"/>
    </xf>
    <xf numFmtId="0" fontId="10" fillId="4" borderId="10" xfId="0" applyFont="1" applyFill="1" applyBorder="1" applyAlignment="1">
      <alignment horizontal="left" vertical="center" wrapText="1"/>
    </xf>
    <xf numFmtId="166" fontId="9" fillId="0" borderId="8" xfId="0" applyNumberFormat="1" applyFont="1" applyBorder="1" applyAlignment="1">
      <alignment horizontal="left" vertical="center" wrapText="1"/>
    </xf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5" borderId="1" xfId="0" applyFont="1" applyFill="1" applyBorder="1"/>
    <xf numFmtId="0" fontId="4" fillId="0" borderId="0" xfId="0" applyFont="1" applyAlignment="1">
      <alignment wrapText="1"/>
    </xf>
    <xf numFmtId="0" fontId="4" fillId="5" borderId="1" xfId="0" applyFont="1" applyFill="1" applyBorder="1" applyAlignment="1"/>
    <xf numFmtId="12" fontId="4" fillId="0" borderId="0" xfId="0" applyNumberFormat="1" applyFont="1"/>
    <xf numFmtId="166" fontId="9" fillId="2" borderId="8" xfId="0" applyNumberFormat="1" applyFont="1" applyFill="1" applyBorder="1" applyAlignment="1">
      <alignment horizontal="left" vertical="center" wrapText="1"/>
    </xf>
    <xf numFmtId="166" fontId="9" fillId="2" borderId="9" xfId="0" applyNumberFormat="1" applyFont="1" applyFill="1" applyBorder="1" applyAlignment="1">
      <alignment horizontal="left" vertical="center" wrapText="1"/>
    </xf>
    <xf numFmtId="166" fontId="9" fillId="2" borderId="10" xfId="0" applyNumberFormat="1" applyFont="1" applyFill="1" applyBorder="1" applyAlignment="1">
      <alignment horizontal="left" vertical="center" wrapText="1"/>
    </xf>
    <xf numFmtId="166" fontId="9" fillId="2" borderId="11" xfId="0" applyNumberFormat="1" applyFont="1" applyFill="1" applyBorder="1" applyAlignment="1">
      <alignment horizontal="left" vertical="center" wrapText="1"/>
    </xf>
    <xf numFmtId="166" fontId="9" fillId="2" borderId="12" xfId="0" applyNumberFormat="1" applyFont="1" applyFill="1" applyBorder="1" applyAlignment="1">
      <alignment horizontal="left" vertical="center" wrapText="1"/>
    </xf>
    <xf numFmtId="0" fontId="10" fillId="4" borderId="16" xfId="0" applyFont="1" applyFill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164" fontId="4" fillId="0" borderId="0" xfId="0" applyNumberFormat="1" applyFont="1"/>
    <xf numFmtId="0" fontId="4" fillId="0" borderId="0" xfId="0" applyFont="1" applyAlignment="1">
      <alignment horizontal="center" vertical="center"/>
    </xf>
    <xf numFmtId="165" fontId="3" fillId="2" borderId="2" xfId="0" applyNumberFormat="1" applyFont="1" applyFill="1" applyBorder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/>
    <xf numFmtId="166" fontId="5" fillId="3" borderId="13" xfId="0" applyNumberFormat="1" applyFont="1" applyFill="1" applyBorder="1" applyAlignment="1">
      <alignment horizontal="left" vertical="center" wrapText="1"/>
    </xf>
    <xf numFmtId="0" fontId="1" fillId="0" borderId="14" xfId="0" applyFont="1" applyBorder="1"/>
    <xf numFmtId="0" fontId="1" fillId="0" borderId="15" xfId="0" applyFont="1" applyBorder="1"/>
    <xf numFmtId="0" fontId="11" fillId="3" borderId="18" xfId="0" applyFont="1" applyFill="1" applyBorder="1" applyAlignment="1">
      <alignment horizontal="left" vertical="center" wrapText="1"/>
    </xf>
    <xf numFmtId="0" fontId="1" fillId="0" borderId="19" xfId="0" applyFont="1" applyBorder="1"/>
    <xf numFmtId="0" fontId="1" fillId="0" borderId="20" xfId="0" applyFont="1" applyBorder="1"/>
    <xf numFmtId="0" fontId="12" fillId="0" borderId="0" xfId="0" applyFont="1" applyAlignment="1">
      <alignment vertical="top" wrapText="1"/>
    </xf>
    <xf numFmtId="4" fontId="13" fillId="0" borderId="0" xfId="0" applyNumberFormat="1" applyFont="1" applyAlignment="1">
      <alignment vertical="top" wrapText="1"/>
    </xf>
    <xf numFmtId="0" fontId="14" fillId="0" borderId="0" xfId="0" applyFont="1" applyAlignment="1">
      <alignment vertical="top" wrapText="1"/>
    </xf>
    <xf numFmtId="0" fontId="15" fillId="7" borderId="0" xfId="0" applyFont="1" applyFill="1" applyAlignment="1">
      <alignment vertical="top" wrapText="1"/>
    </xf>
    <xf numFmtId="0" fontId="16" fillId="7" borderId="0" xfId="0" applyFont="1" applyFill="1" applyAlignment="1">
      <alignment vertical="top" wrapText="1"/>
    </xf>
    <xf numFmtId="0" fontId="12" fillId="0" borderId="21" xfId="0" applyFont="1" applyBorder="1" applyAlignment="1">
      <alignment vertical="top" wrapText="1"/>
    </xf>
    <xf numFmtId="4" fontId="13" fillId="0" borderId="21" xfId="0" applyNumberFormat="1" applyFont="1" applyBorder="1" applyAlignment="1">
      <alignment vertical="top" wrapText="1"/>
    </xf>
    <xf numFmtId="0" fontId="14" fillId="2" borderId="21" xfId="0" applyFont="1" applyFill="1" applyBorder="1" applyAlignment="1">
      <alignment horizontal="left" vertical="top" wrapText="1"/>
    </xf>
    <xf numFmtId="0" fontId="13" fillId="0" borderId="21" xfId="0" applyFont="1" applyBorder="1" applyAlignment="1">
      <alignment vertical="top" wrapText="1"/>
    </xf>
    <xf numFmtId="0" fontId="13" fillId="0" borderId="0" xfId="0" applyFont="1" applyAlignment="1">
      <alignment vertical="top" wrapText="1"/>
    </xf>
    <xf numFmtId="0" fontId="13" fillId="0" borderId="0" xfId="0" applyFont="1" applyFill="1" applyAlignment="1">
      <alignment vertical="top" wrapText="1"/>
    </xf>
    <xf numFmtId="0" fontId="13" fillId="0" borderId="21" xfId="0" applyFont="1" applyFill="1" applyBorder="1" applyAlignment="1">
      <alignment vertical="top" wrapText="1"/>
    </xf>
    <xf numFmtId="0" fontId="14" fillId="0" borderId="21" xfId="0" applyFont="1" applyBorder="1" applyAlignment="1">
      <alignment vertical="top" wrapText="1"/>
    </xf>
    <xf numFmtId="0" fontId="13" fillId="6" borderId="21" xfId="0" applyFont="1" applyFill="1" applyBorder="1" applyAlignment="1">
      <alignment vertical="top" wrapText="1"/>
    </xf>
  </cellXfs>
  <cellStyles count="1">
    <cellStyle name="Normal" xfId="0" builtinId="0"/>
  </cellStyles>
  <dxfs count="9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9ECEA"/>
          <bgColor rgb="FFE9ECEA"/>
        </patternFill>
      </fill>
    </dxf>
    <dxf>
      <fill>
        <patternFill patternType="solid">
          <fgColor rgb="FFD3D9D6"/>
          <bgColor rgb="FFD3D9D6"/>
        </patternFill>
      </fill>
    </dxf>
    <dxf>
      <fill>
        <patternFill patternType="solid">
          <fgColor rgb="FFFFFFFF"/>
          <bgColor rgb="FFFFFFFF"/>
        </patternFill>
      </fill>
    </dxf>
  </dxfs>
  <tableStyles count="1" defaultPivotStyle="PivotStyleMedium4">
    <tableStyle name="Lookup List-style" pivot="0" count="3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_1" displayName="Table_1" ref="A1:A10">
  <tableColumns count="1">
    <tableColumn id="1" name="Year"/>
  </tableColumns>
  <tableStyleInfo name="Lookup List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workbookViewId="0"/>
  </sheetViews>
  <sheetFormatPr defaultColWidth="12.625" defaultRowHeight="15" customHeight="1"/>
  <cols>
    <col min="1" max="1" width="2.375" customWidth="1"/>
    <col min="2" max="8" width="17.625" customWidth="1"/>
    <col min="9" max="26" width="8.75" customWidth="1"/>
  </cols>
  <sheetData>
    <row r="1" spans="1:26" ht="59.25" customHeight="1">
      <c r="A1" s="2"/>
      <c r="B1" s="40" t="s">
        <v>0</v>
      </c>
      <c r="C1" s="41"/>
      <c r="D1" s="41"/>
      <c r="E1" s="41"/>
      <c r="F1" s="41"/>
      <c r="G1" s="41"/>
      <c r="H1" s="4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1.75" customHeight="1">
      <c r="A2" s="6"/>
      <c r="B2" s="7" t="s">
        <v>17</v>
      </c>
      <c r="C2" s="9" t="s">
        <v>20</v>
      </c>
      <c r="D2" s="9" t="s">
        <v>28</v>
      </c>
      <c r="E2" s="9" t="s">
        <v>30</v>
      </c>
      <c r="F2" s="9" t="s">
        <v>31</v>
      </c>
      <c r="G2" s="9" t="s">
        <v>32</v>
      </c>
      <c r="H2" s="10" t="s">
        <v>33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3.5" customHeight="1">
      <c r="A3" s="2"/>
      <c r="B3" s="13" t="e">
        <f>IF(AND(YEAR(DecSun1)=CalendarYear,MONTH(DecSun1)=12),DecSun1, "")</f>
        <v>#NAME?</v>
      </c>
      <c r="C3" s="16" t="e">
        <f>IF(AND(YEAR(DecSun1+1)=CalendarYear,MONTH(DecSun1+1)=12),DecSun1+1, "")</f>
        <v>#NAME?</v>
      </c>
      <c r="D3" s="16" t="e">
        <f>IF(AND(YEAR(DecSun1+2)=CalendarYear,MONTH(DecSun1+2)=12),DecSun1+2, "")</f>
        <v>#NAME?</v>
      </c>
      <c r="E3" s="16" t="e">
        <f>IF(AND(YEAR(DecSun1+3)=CalendarYear,MONTH(DecSun1+3)=12),DecSun1+3, "")</f>
        <v>#NAME?</v>
      </c>
      <c r="F3" s="16" t="e">
        <f>IF(AND(YEAR(DecSun1+4)=CalendarYear,MONTH(DecSun1+4)=12),DecSun1+4, "")</f>
        <v>#NAME?</v>
      </c>
      <c r="G3" s="16" t="e">
        <f>IF(AND(YEAR(DecSun1+5)=CalendarYear,MONTH(DecSun1+5)=12),DecSun1+5, "")</f>
        <v>#NAME?</v>
      </c>
      <c r="H3" s="17" t="e">
        <f>IF(AND(YEAR(DecSun1+6)=CalendarYear,MONTH(DecSun1+6)=12),DecSun1+6, "")</f>
        <v>#NAME?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21.75" customHeight="1">
      <c r="A4" s="2"/>
      <c r="B4" s="19"/>
      <c r="C4" s="20"/>
      <c r="D4" s="21"/>
      <c r="E4" s="21"/>
      <c r="F4" s="21"/>
      <c r="G4" s="21"/>
      <c r="H4" s="22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3.5" customHeight="1">
      <c r="A5" s="2"/>
      <c r="B5" s="23" t="e">
        <f>IF(AND(YEAR(DecSun1+7)=CalendarYear,MONTH(DecSun1+7)=12),DecSun1+7, "")</f>
        <v>#NAME?</v>
      </c>
      <c r="C5" s="16" t="e">
        <f>IF(AND(YEAR(DecSun1+8)=CalendarYear,MONTH(DecSun1+8)=12),DecSun1+8, "")</f>
        <v>#NAME?</v>
      </c>
      <c r="D5" s="16" t="e">
        <f>IF(AND(YEAR(DecSun1+9)=CalendarYear,MONTH(DecSun1+9)=12),DecSun1+9, "")</f>
        <v>#NAME?</v>
      </c>
      <c r="E5" s="16" t="e">
        <f>IF(AND(YEAR(DecSun1+10)=CalendarYear,MONTH(DecSun1+10)=12),DecSun1+10, "")</f>
        <v>#NAME?</v>
      </c>
      <c r="F5" s="16" t="e">
        <f>IF(AND(YEAR(DecSun1+11)=CalendarYear,MONTH(DecSun1+11)=12),DecSun1+11, "")</f>
        <v>#NAME?</v>
      </c>
      <c r="G5" s="16" t="e">
        <f>IF(AND(YEAR(DecSun1+12)=CalendarYear,MONTH(DecSun1+12)=12),DecSun1+12,"")</f>
        <v>#NAME?</v>
      </c>
      <c r="H5" s="17" t="e">
        <f>IF(AND(YEAR(DecSun1+13)=CalendarYear,MONTH(DecSun1+13)=12),DecSun1+13, "")</f>
        <v>#NAME?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6.5">
      <c r="A6" s="2"/>
      <c r="B6" s="19"/>
      <c r="C6" s="20"/>
      <c r="D6" s="21"/>
      <c r="E6" s="21"/>
      <c r="F6" s="21"/>
      <c r="G6" s="21"/>
      <c r="H6" s="22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3.5" customHeight="1">
      <c r="A7" s="2"/>
      <c r="B7" s="23" t="e">
        <f>IF(AND(YEAR(DecSun1+14)=CalendarYear,MONTH(DecSun1+14)=12),DecSun1+14, "")</f>
        <v>#NAME?</v>
      </c>
      <c r="C7" s="16" t="e">
        <f>IF(AND(YEAR(DecSun1+15)=CalendarYear,MONTH(DecSun1+15)=12),DecSun1+15, "")</f>
        <v>#NAME?</v>
      </c>
      <c r="D7" s="16" t="e">
        <f>IF(AND(YEAR(DecSun1+16)=CalendarYear,MONTH(DecSun1+16)=12),DecSun1+16, "")</f>
        <v>#NAME?</v>
      </c>
      <c r="E7" s="16" t="e">
        <f>IF(AND(YEAR(DecSun1+17)=CalendarYear,MONTH(DecSun1+17)=12),DecSun1+17, "")</f>
        <v>#NAME?</v>
      </c>
      <c r="F7" s="16" t="e">
        <f>IF(AND(YEAR(DecSun1+18)=CalendarYear,MONTH(DecSun1+18)=12),DecSun1+18, "")</f>
        <v>#NAME?</v>
      </c>
      <c r="G7" s="16">
        <v>14</v>
      </c>
      <c r="H7" s="17">
        <v>15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17.75" customHeight="1">
      <c r="A8" s="2"/>
      <c r="B8" s="19"/>
      <c r="C8" s="20"/>
      <c r="D8" s="21"/>
      <c r="E8" s="21"/>
      <c r="F8" s="21"/>
      <c r="G8" s="21" t="s">
        <v>112</v>
      </c>
      <c r="H8" s="22" t="s">
        <v>113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3.5" customHeight="1">
      <c r="A9" s="2"/>
      <c r="B9" s="31">
        <v>16</v>
      </c>
      <c r="C9" s="32">
        <v>17</v>
      </c>
      <c r="D9" s="32">
        <v>18</v>
      </c>
      <c r="E9" s="32">
        <v>19</v>
      </c>
      <c r="F9" s="32">
        <v>20</v>
      </c>
      <c r="G9" s="32">
        <v>21</v>
      </c>
      <c r="H9" s="33">
        <v>22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27.5" customHeight="1">
      <c r="A10" s="2"/>
      <c r="B10" s="19" t="s">
        <v>119</v>
      </c>
      <c r="C10" s="20" t="s">
        <v>122</v>
      </c>
      <c r="D10" s="21" t="s">
        <v>123</v>
      </c>
      <c r="E10" s="21" t="s">
        <v>123</v>
      </c>
      <c r="F10" s="21" t="s">
        <v>124</v>
      </c>
      <c r="G10" s="21" t="s">
        <v>126</v>
      </c>
      <c r="H10" s="22" t="s">
        <v>127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3.5" customHeight="1">
      <c r="A11" s="2"/>
      <c r="B11" s="31">
        <v>23</v>
      </c>
      <c r="C11" s="32">
        <v>24</v>
      </c>
      <c r="D11" s="32">
        <v>25</v>
      </c>
      <c r="E11" s="32">
        <v>26</v>
      </c>
      <c r="F11" s="32">
        <v>27</v>
      </c>
      <c r="G11" s="32">
        <v>28</v>
      </c>
      <c r="H11" s="33">
        <v>29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57.75" customHeight="1">
      <c r="A12" s="2"/>
      <c r="B12" s="19" t="s">
        <v>132</v>
      </c>
      <c r="C12" s="20" t="s">
        <v>133</v>
      </c>
      <c r="D12" s="20" t="s">
        <v>63</v>
      </c>
      <c r="E12" s="21" t="s">
        <v>63</v>
      </c>
      <c r="F12" s="20" t="s">
        <v>134</v>
      </c>
      <c r="G12" s="20" t="s">
        <v>119</v>
      </c>
      <c r="H12" s="22" t="s">
        <v>119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3.5" customHeight="1">
      <c r="A13" s="2"/>
      <c r="B13" s="34">
        <v>30</v>
      </c>
      <c r="C13" s="35">
        <v>31</v>
      </c>
      <c r="D13" s="43" t="s">
        <v>135</v>
      </c>
      <c r="E13" s="44"/>
      <c r="F13" s="44"/>
      <c r="G13" s="44"/>
      <c r="H13" s="45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57.75" customHeight="1">
      <c r="A14" s="2"/>
      <c r="B14" s="36" t="s">
        <v>136</v>
      </c>
      <c r="C14" s="37"/>
      <c r="D14" s="46"/>
      <c r="E14" s="47"/>
      <c r="F14" s="47"/>
      <c r="G14" s="47"/>
      <c r="H14" s="4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2.75" customHeight="1">
      <c r="A15" s="2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2.75" customHeight="1">
      <c r="A16" s="2"/>
      <c r="B16" s="18"/>
      <c r="C16" t="s">
        <v>116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2.75" customHeight="1">
      <c r="A17" s="2"/>
      <c r="B17" s="18"/>
      <c r="C17" t="s">
        <v>137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2.75" customHeight="1">
      <c r="A18" s="2"/>
      <c r="B18" s="18"/>
      <c r="C18" s="18" t="s">
        <v>130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>
      <c r="A19" s="2"/>
      <c r="B19" s="18"/>
      <c r="C19" s="18" t="s">
        <v>131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2.75" customHeight="1">
      <c r="A20" s="2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2.75" customHeight="1">
      <c r="A21" s="2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2.75" customHeight="1">
      <c r="A22" s="2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2.75" customHeight="1">
      <c r="A23" s="2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2.75" customHeight="1">
      <c r="A24" s="2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2.75" customHeight="1">
      <c r="A25" s="2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2.75" customHeight="1">
      <c r="A26" s="2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2.75" customHeight="1">
      <c r="A27" s="2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2.75" customHeight="1">
      <c r="A28" s="2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2.75" customHeight="1">
      <c r="A29" s="2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2.75" customHeight="1">
      <c r="A30" s="2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2.75" customHeight="1">
      <c r="A31" s="2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2.75" customHeight="1">
      <c r="A32" s="2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2.75" customHeight="1">
      <c r="A33" s="2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2.75" customHeight="1">
      <c r="A34" s="2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2.75" customHeight="1">
      <c r="A35" s="2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2.75" customHeight="1">
      <c r="A36" s="2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2.75" customHeight="1">
      <c r="A37" s="2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2.75" customHeight="1">
      <c r="A38" s="2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2.75" customHeight="1">
      <c r="A39" s="2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2.75" customHeight="1">
      <c r="A40" s="2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2.75" customHeight="1">
      <c r="A41" s="2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2.75" customHeight="1">
      <c r="A42" s="2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2.75" customHeight="1">
      <c r="A43" s="2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2.75" customHeight="1">
      <c r="A44" s="2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2.75" customHeight="1">
      <c r="A45" s="2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2.75" customHeight="1">
      <c r="A46" s="2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2.75" customHeight="1">
      <c r="A47" s="2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2.75" customHeight="1">
      <c r="A48" s="2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2.75" customHeight="1">
      <c r="A49" s="2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2.75" customHeight="1">
      <c r="A50" s="2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2.75" customHeight="1">
      <c r="A51" s="2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2.75" customHeight="1">
      <c r="A52" s="2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2.75" customHeight="1">
      <c r="A53" s="2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2.75" customHeight="1">
      <c r="A54" s="2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2.75" customHeight="1">
      <c r="A55" s="2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2.75" customHeight="1">
      <c r="A56" s="2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2.75" customHeight="1">
      <c r="A57" s="2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2.75" customHeight="1">
      <c r="A58" s="2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2.75" customHeight="1">
      <c r="A59" s="2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2.75" customHeight="1">
      <c r="A60" s="2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2.75" customHeight="1">
      <c r="A61" s="2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2.75" customHeight="1">
      <c r="A62" s="2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2.75" customHeight="1">
      <c r="A63" s="2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2.75" customHeight="1">
      <c r="A64" s="2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2.75" customHeight="1">
      <c r="A65" s="2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2.75" customHeight="1">
      <c r="A66" s="2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2.75" customHeight="1">
      <c r="A67" s="2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2.75" customHeight="1">
      <c r="A68" s="2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2.75" customHeight="1">
      <c r="A69" s="2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2.75" customHeight="1">
      <c r="A70" s="2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2.75" customHeight="1">
      <c r="A71" s="2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2.75" customHeight="1">
      <c r="A72" s="2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2.75" customHeight="1">
      <c r="A73" s="2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2.75" customHeight="1">
      <c r="A74" s="2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2.75" customHeight="1">
      <c r="A75" s="2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2.75" customHeight="1">
      <c r="A76" s="2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2.75" customHeight="1">
      <c r="A77" s="2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2.75" customHeight="1">
      <c r="A78" s="2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2.75" customHeight="1">
      <c r="A79" s="2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2.75" customHeight="1">
      <c r="A80" s="2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2.75" customHeight="1">
      <c r="A81" s="2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2.75" customHeight="1">
      <c r="A82" s="2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2.75" customHeight="1">
      <c r="A83" s="2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2.75" customHeight="1">
      <c r="A84" s="2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2.75" customHeight="1">
      <c r="A85" s="2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2.75" customHeight="1">
      <c r="A86" s="2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2.75" customHeight="1">
      <c r="A87" s="2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2.75" customHeight="1">
      <c r="A88" s="2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2.75" customHeight="1">
      <c r="A89" s="2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2.75" customHeight="1">
      <c r="A90" s="2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2.75" customHeight="1">
      <c r="A91" s="2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2.75" customHeight="1">
      <c r="A92" s="2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2.75" customHeight="1">
      <c r="A93" s="2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2.75" customHeight="1">
      <c r="A94" s="2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2.75" customHeight="1">
      <c r="A95" s="2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2.75" customHeight="1">
      <c r="A96" s="2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2.75" customHeight="1">
      <c r="A97" s="2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2.75" customHeight="1">
      <c r="A98" s="2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2.75" customHeight="1">
      <c r="A99" s="2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2.75" customHeight="1">
      <c r="A100" s="2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2.75" customHeight="1">
      <c r="A101" s="2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2.75" customHeight="1">
      <c r="A102" s="2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2.75" customHeight="1">
      <c r="A103" s="2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2.75" customHeight="1">
      <c r="A104" s="2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2.75" customHeight="1">
      <c r="A105" s="2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2.75" customHeight="1">
      <c r="A106" s="2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2.75" customHeight="1">
      <c r="A107" s="2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2.75" customHeight="1">
      <c r="A108" s="2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2.75" customHeight="1">
      <c r="A109" s="2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2.75" customHeight="1">
      <c r="A110" s="2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2.75" customHeight="1">
      <c r="A111" s="2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2.75" customHeight="1">
      <c r="A112" s="2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2.75" customHeight="1">
      <c r="A113" s="2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2.75" customHeight="1">
      <c r="A114" s="2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2.75" customHeight="1">
      <c r="A115" s="2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2.75" customHeight="1">
      <c r="A116" s="2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2.75" customHeight="1">
      <c r="A117" s="2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2.75" customHeight="1">
      <c r="A118" s="2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2.75" customHeight="1">
      <c r="A119" s="2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2.75" customHeight="1">
      <c r="A120" s="2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2.75" customHeight="1">
      <c r="A121" s="2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2.75" customHeight="1">
      <c r="A122" s="2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2.75" customHeight="1">
      <c r="A123" s="2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2.75" customHeight="1">
      <c r="A124" s="2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2.75" customHeight="1">
      <c r="A125" s="2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2.75" customHeight="1">
      <c r="A126" s="2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2.75" customHeight="1">
      <c r="A127" s="2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2.75" customHeight="1">
      <c r="A128" s="2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2.75" customHeight="1">
      <c r="A129" s="2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2.75" customHeight="1">
      <c r="A130" s="2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2.75" customHeight="1">
      <c r="A131" s="2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2.75" customHeight="1">
      <c r="A132" s="2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2.75" customHeight="1">
      <c r="A133" s="2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2.75" customHeight="1">
      <c r="A134" s="2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2.75" customHeight="1">
      <c r="A135" s="2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2.75" customHeight="1">
      <c r="A136" s="2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2.75" customHeight="1">
      <c r="A137" s="2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2.75" customHeight="1">
      <c r="A138" s="2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2.75" customHeight="1">
      <c r="A139" s="2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2.75" customHeight="1">
      <c r="A140" s="2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2.75" customHeight="1">
      <c r="A141" s="2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2.75" customHeight="1">
      <c r="A142" s="2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2.75" customHeight="1">
      <c r="A143" s="2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2.75" customHeight="1">
      <c r="A144" s="2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2.75" customHeight="1">
      <c r="A145" s="2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2.75" customHeight="1">
      <c r="A146" s="2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2.75" customHeight="1">
      <c r="A147" s="2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2.75" customHeight="1">
      <c r="A148" s="2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2.75" customHeight="1">
      <c r="A149" s="2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2.75" customHeight="1">
      <c r="A150" s="2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2.75" customHeight="1">
      <c r="A151" s="2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2.75" customHeight="1">
      <c r="A152" s="2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2.75" customHeight="1">
      <c r="A153" s="2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2.75" customHeight="1">
      <c r="A154" s="2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2.75" customHeight="1">
      <c r="A155" s="2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2.75" customHeight="1">
      <c r="A156" s="2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2.75" customHeight="1">
      <c r="A157" s="2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2.75" customHeight="1">
      <c r="A158" s="2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2.75" customHeight="1">
      <c r="A159" s="2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2.75" customHeight="1">
      <c r="A160" s="2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2.75" customHeight="1">
      <c r="A161" s="2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2.75" customHeight="1">
      <c r="A162" s="2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2.75" customHeight="1">
      <c r="A163" s="2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2.75" customHeight="1">
      <c r="A164" s="2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2.75" customHeight="1">
      <c r="A165" s="2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2.75" customHeight="1">
      <c r="A166" s="2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2.75" customHeight="1">
      <c r="A167" s="2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2.75" customHeight="1">
      <c r="A168" s="2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2.75" customHeight="1">
      <c r="A169" s="2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2.75" customHeight="1">
      <c r="A170" s="2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2.75" customHeight="1">
      <c r="A171" s="2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2.75" customHeight="1">
      <c r="A172" s="2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2.75" customHeight="1">
      <c r="A173" s="2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2.75" customHeight="1">
      <c r="A174" s="2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2.75" customHeight="1">
      <c r="A175" s="2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2.75" customHeight="1">
      <c r="A176" s="2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2.75" customHeight="1">
      <c r="A177" s="2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2.75" customHeight="1">
      <c r="A178" s="2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2.75" customHeight="1">
      <c r="A179" s="2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2.75" customHeight="1">
      <c r="A180" s="2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2.75" customHeight="1">
      <c r="A181" s="2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2.75" customHeight="1">
      <c r="A182" s="2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2.75" customHeight="1">
      <c r="A183" s="2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2.75" customHeight="1">
      <c r="A184" s="2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2.75" customHeight="1">
      <c r="A185" s="2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2.75" customHeight="1">
      <c r="A186" s="2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2.75" customHeight="1">
      <c r="A187" s="2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2.75" customHeight="1">
      <c r="A188" s="2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2.75" customHeight="1">
      <c r="A189" s="2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2.75" customHeight="1">
      <c r="A190" s="2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2.75" customHeight="1">
      <c r="A191" s="2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2.75" customHeight="1">
      <c r="A192" s="2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2.75" customHeight="1">
      <c r="A193" s="2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2.75" customHeight="1">
      <c r="A194" s="2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2.75" customHeight="1">
      <c r="A195" s="2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2.75" customHeight="1">
      <c r="A196" s="2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2.75" customHeight="1">
      <c r="A197" s="2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2.75" customHeight="1">
      <c r="A198" s="2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2.75" customHeight="1">
      <c r="A199" s="2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2.75" customHeight="1">
      <c r="A200" s="2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2.75" customHeight="1">
      <c r="A201" s="2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2.75" customHeight="1">
      <c r="A202" s="2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2.75" customHeight="1">
      <c r="A203" s="2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2.75" customHeight="1">
      <c r="A204" s="2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2.75" customHeight="1">
      <c r="A205" s="2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2.75" customHeight="1">
      <c r="A206" s="2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2.75" customHeight="1">
      <c r="A207" s="2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2.75" customHeight="1">
      <c r="A208" s="2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2.75" customHeight="1">
      <c r="A209" s="2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2.75" customHeight="1">
      <c r="A210" s="2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2.75" customHeight="1">
      <c r="A211" s="2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2.75" customHeight="1">
      <c r="A212" s="2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2.75" customHeight="1">
      <c r="A213" s="2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2.75" customHeight="1">
      <c r="A214" s="2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2.75" customHeight="1">
      <c r="A215" s="2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2.75" customHeight="1">
      <c r="A216" s="2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2.75" customHeight="1">
      <c r="A217" s="2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2.75" customHeight="1">
      <c r="A218" s="2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2.75" customHeight="1">
      <c r="A219" s="2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2.75" customHeight="1">
      <c r="A220" s="2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2.75" customHeight="1">
      <c r="A221" s="2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2.75" customHeight="1">
      <c r="A222" s="2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2.75" customHeight="1">
      <c r="A223" s="2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2.75" customHeight="1">
      <c r="A224" s="2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2.75" customHeight="1">
      <c r="A225" s="2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2.75" customHeight="1">
      <c r="A226" s="2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2.75" customHeight="1">
      <c r="A227" s="2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2.75" customHeight="1">
      <c r="A228" s="2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2.75" customHeight="1">
      <c r="A229" s="2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2.75" customHeight="1">
      <c r="A230" s="2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2.75" customHeight="1">
      <c r="A231" s="2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2.75" customHeight="1">
      <c r="A232" s="2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2.75" customHeight="1">
      <c r="A233" s="2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2.75" customHeight="1">
      <c r="A234" s="2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2.75" customHeight="1">
      <c r="A235" s="2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2.75" customHeight="1">
      <c r="A236" s="2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2.75" customHeight="1">
      <c r="A237" s="2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2.75" customHeight="1">
      <c r="A238" s="2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2.75" customHeight="1">
      <c r="A239" s="2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2.75" customHeight="1">
      <c r="A240" s="2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2.75" customHeight="1">
      <c r="A241" s="2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2.75" customHeight="1">
      <c r="A242" s="2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2.75" customHeight="1">
      <c r="A243" s="2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2.75" customHeight="1">
      <c r="A244" s="2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2.75" customHeight="1">
      <c r="A245" s="2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2.75" customHeight="1">
      <c r="A246" s="2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2.75" customHeight="1">
      <c r="A247" s="2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2.75" customHeight="1">
      <c r="A248" s="2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2.75" customHeight="1">
      <c r="A249" s="2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2.75" customHeight="1">
      <c r="A250" s="2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2.75" customHeight="1">
      <c r="A251" s="2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2.75" customHeight="1">
      <c r="A252" s="2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2.75" customHeight="1">
      <c r="A253" s="2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2.75" customHeight="1">
      <c r="A254" s="2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2.75" customHeight="1">
      <c r="A255" s="2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2.75" customHeight="1">
      <c r="A256" s="2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2.75" customHeight="1">
      <c r="A257" s="2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2.75" customHeight="1">
      <c r="A258" s="2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2.75" customHeight="1">
      <c r="A259" s="2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2.75" customHeight="1">
      <c r="A260" s="2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2.75" customHeight="1">
      <c r="A261" s="2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2.75" customHeight="1">
      <c r="A262" s="2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2.75" customHeight="1">
      <c r="A263" s="2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2.75" customHeight="1">
      <c r="A264" s="2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2.75" customHeight="1">
      <c r="A265" s="2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2.75" customHeight="1">
      <c r="A266" s="2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2.75" customHeight="1">
      <c r="A267" s="2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2.75" customHeight="1">
      <c r="A268" s="2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2.75" customHeight="1">
      <c r="A269" s="2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2.75" customHeight="1">
      <c r="A270" s="2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2.75" customHeight="1">
      <c r="A271" s="2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2.75" customHeight="1">
      <c r="A272" s="2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2.75" customHeight="1">
      <c r="A273" s="2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2.75" customHeight="1">
      <c r="A274" s="2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2.75" customHeight="1">
      <c r="A275" s="2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2.75" customHeight="1">
      <c r="A276" s="2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2.75" customHeight="1">
      <c r="A277" s="2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2.75" customHeight="1">
      <c r="A278" s="2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2.75" customHeight="1">
      <c r="A279" s="2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2.75" customHeight="1">
      <c r="A280" s="2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2.75" customHeight="1">
      <c r="A281" s="2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2.75" customHeight="1">
      <c r="A282" s="2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2.75" customHeight="1">
      <c r="A283" s="2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2.75" customHeight="1">
      <c r="A284" s="2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2.75" customHeight="1">
      <c r="A285" s="2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2.75" customHeight="1">
      <c r="A286" s="2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2.75" customHeight="1">
      <c r="A287" s="2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2.75" customHeight="1">
      <c r="A288" s="2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2.75" customHeight="1">
      <c r="A289" s="2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2.75" customHeight="1">
      <c r="A290" s="2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2.75" customHeight="1">
      <c r="A291" s="2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2.75" customHeight="1">
      <c r="A292" s="2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2.75" customHeight="1">
      <c r="A293" s="2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2.75" customHeight="1">
      <c r="A294" s="2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2.75" customHeight="1">
      <c r="A295" s="2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2.75" customHeight="1">
      <c r="A296" s="2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2.75" customHeight="1">
      <c r="A297" s="2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2.75" customHeight="1">
      <c r="A298" s="2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2.75" customHeight="1">
      <c r="A299" s="2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2.75" customHeight="1">
      <c r="A300" s="2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2.75" customHeight="1">
      <c r="A301" s="2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2.75" customHeight="1">
      <c r="A302" s="2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2.75" customHeight="1">
      <c r="A303" s="2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2.75" customHeight="1">
      <c r="A304" s="2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2.75" customHeight="1">
      <c r="A305" s="2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2.75" customHeight="1">
      <c r="A306" s="2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2.75" customHeight="1">
      <c r="A307" s="2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2.75" customHeight="1">
      <c r="A308" s="2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2.75" customHeight="1">
      <c r="A309" s="2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2.75" customHeight="1">
      <c r="A310" s="2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2.75" customHeight="1">
      <c r="A311" s="2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2.75" customHeight="1">
      <c r="A312" s="2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2.75" customHeight="1">
      <c r="A313" s="2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2.75" customHeight="1">
      <c r="A314" s="2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2.75" customHeight="1">
      <c r="A315" s="2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2.75" customHeight="1">
      <c r="A316" s="2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2.75" customHeight="1">
      <c r="A317" s="2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2.75" customHeight="1">
      <c r="A318" s="2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2.75" customHeight="1">
      <c r="A319" s="2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2.75" customHeight="1">
      <c r="A320" s="2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2.75" customHeight="1">
      <c r="A321" s="2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2.75" customHeight="1">
      <c r="A322" s="2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2.75" customHeight="1">
      <c r="A323" s="2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2.75" customHeight="1">
      <c r="A324" s="2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2.75" customHeight="1">
      <c r="A325" s="2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2.75" customHeight="1">
      <c r="A326" s="2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2.75" customHeight="1">
      <c r="A327" s="2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2.75" customHeight="1">
      <c r="A328" s="2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2.75" customHeight="1">
      <c r="A329" s="2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2.75" customHeight="1">
      <c r="A330" s="2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2.75" customHeight="1">
      <c r="A331" s="2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2.75" customHeight="1">
      <c r="A332" s="2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2.75" customHeight="1">
      <c r="A333" s="2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2.75" customHeight="1">
      <c r="A334" s="2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2.75" customHeight="1">
      <c r="A335" s="2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2.75" customHeight="1">
      <c r="A336" s="2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2.75" customHeight="1">
      <c r="A337" s="2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2.75" customHeight="1">
      <c r="A338" s="2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2.75" customHeight="1">
      <c r="A339" s="2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2.75" customHeight="1">
      <c r="A340" s="2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2.75" customHeight="1">
      <c r="A341" s="2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2.75" customHeight="1">
      <c r="A342" s="2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2.75" customHeight="1">
      <c r="A343" s="2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2.75" customHeight="1">
      <c r="A344" s="2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2.75" customHeight="1">
      <c r="A345" s="2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2.75" customHeight="1">
      <c r="A346" s="2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2.75" customHeight="1">
      <c r="A347" s="2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2.75" customHeight="1">
      <c r="A348" s="2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2.75" customHeight="1">
      <c r="A349" s="2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2.75" customHeight="1">
      <c r="A350" s="2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2.75" customHeight="1">
      <c r="A351" s="2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2.75" customHeight="1">
      <c r="A352" s="2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2.75" customHeight="1">
      <c r="A353" s="2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2.75" customHeight="1">
      <c r="A354" s="2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2.75" customHeight="1">
      <c r="A355" s="2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2.75" customHeight="1">
      <c r="A356" s="2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2.75" customHeight="1">
      <c r="A357" s="2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2.75" customHeight="1">
      <c r="A358" s="2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2.75" customHeight="1">
      <c r="A359" s="2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2.75" customHeight="1">
      <c r="A360" s="2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2.75" customHeight="1">
      <c r="A361" s="2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2.75" customHeight="1">
      <c r="A362" s="2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2.75" customHeight="1">
      <c r="A363" s="2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2.75" customHeight="1">
      <c r="A364" s="2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2.75" customHeight="1">
      <c r="A365" s="2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2.75" customHeight="1">
      <c r="A366" s="2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2.75" customHeight="1">
      <c r="A367" s="2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2.75" customHeight="1">
      <c r="A368" s="2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2.75" customHeight="1">
      <c r="A369" s="2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2.75" customHeight="1">
      <c r="A370" s="2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2.75" customHeight="1">
      <c r="A371" s="2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2.75" customHeight="1">
      <c r="A372" s="2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2.75" customHeight="1">
      <c r="A373" s="2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2.75" customHeight="1">
      <c r="A374" s="2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2.75" customHeight="1">
      <c r="A375" s="2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2.75" customHeight="1">
      <c r="A376" s="2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2.75" customHeight="1">
      <c r="A377" s="2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2.75" customHeight="1">
      <c r="A378" s="2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2.75" customHeight="1">
      <c r="A379" s="2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2.75" customHeight="1">
      <c r="A380" s="2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2.75" customHeight="1">
      <c r="A381" s="2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2.75" customHeight="1">
      <c r="A382" s="2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2.75" customHeight="1">
      <c r="A383" s="2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2.75" customHeight="1">
      <c r="A384" s="2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2.75" customHeight="1">
      <c r="A385" s="2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2.75" customHeight="1">
      <c r="A386" s="2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2.75" customHeight="1">
      <c r="A387" s="2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2.75" customHeight="1">
      <c r="A388" s="2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2.75" customHeight="1">
      <c r="A389" s="2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2.75" customHeight="1">
      <c r="A390" s="2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2.75" customHeight="1">
      <c r="A391" s="2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2.75" customHeight="1">
      <c r="A392" s="2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2.75" customHeight="1">
      <c r="A393" s="2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2.75" customHeight="1">
      <c r="A394" s="2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2.75" customHeight="1">
      <c r="A395" s="2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2.75" customHeight="1">
      <c r="A396" s="2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2.75" customHeight="1">
      <c r="A397" s="2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2.75" customHeight="1">
      <c r="A398" s="2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2.75" customHeight="1">
      <c r="A399" s="2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2.75" customHeight="1">
      <c r="A400" s="2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2.75" customHeight="1">
      <c r="A401" s="2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2.75" customHeight="1">
      <c r="A402" s="2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2.75" customHeight="1">
      <c r="A403" s="2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2.75" customHeight="1">
      <c r="A404" s="2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2.75" customHeight="1">
      <c r="A405" s="2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2.75" customHeight="1">
      <c r="A406" s="2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2.75" customHeight="1">
      <c r="A407" s="2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2.75" customHeight="1">
      <c r="A408" s="2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2.75" customHeight="1">
      <c r="A409" s="2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2.75" customHeight="1">
      <c r="A410" s="2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2.75" customHeight="1">
      <c r="A411" s="2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2.75" customHeight="1">
      <c r="A412" s="2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2.75" customHeight="1">
      <c r="A413" s="2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2.75" customHeight="1">
      <c r="A414" s="2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2.75" customHeight="1">
      <c r="A415" s="2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2.75" customHeight="1">
      <c r="A416" s="2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2.75" customHeight="1">
      <c r="A417" s="2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2.75" customHeight="1">
      <c r="A418" s="2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2.75" customHeight="1">
      <c r="A419" s="2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2.75" customHeight="1">
      <c r="A420" s="2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2.75" customHeight="1">
      <c r="A421" s="2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2.75" customHeight="1">
      <c r="A422" s="2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2.75" customHeight="1">
      <c r="A423" s="2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2.75" customHeight="1">
      <c r="A424" s="2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2.75" customHeight="1">
      <c r="A425" s="2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2.75" customHeight="1">
      <c r="A426" s="2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2.75" customHeight="1">
      <c r="A427" s="2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2.75" customHeight="1">
      <c r="A428" s="2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2.75" customHeight="1">
      <c r="A429" s="2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2.75" customHeight="1">
      <c r="A430" s="2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2.75" customHeight="1">
      <c r="A431" s="2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2.75" customHeight="1">
      <c r="A432" s="2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2.75" customHeight="1">
      <c r="A433" s="2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2.75" customHeight="1">
      <c r="A434" s="2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2.75" customHeight="1">
      <c r="A435" s="2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2.75" customHeight="1">
      <c r="A436" s="2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2.75" customHeight="1">
      <c r="A437" s="2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2.75" customHeight="1">
      <c r="A438" s="2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2.75" customHeight="1">
      <c r="A439" s="2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2.75" customHeight="1">
      <c r="A440" s="2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2.75" customHeight="1">
      <c r="A441" s="2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2.75" customHeight="1">
      <c r="A442" s="2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2.75" customHeight="1">
      <c r="A443" s="2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2.75" customHeight="1">
      <c r="A444" s="2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2.75" customHeight="1">
      <c r="A445" s="2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2.75" customHeight="1">
      <c r="A446" s="2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2.75" customHeight="1">
      <c r="A447" s="2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2.75" customHeight="1">
      <c r="A448" s="2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2.75" customHeight="1">
      <c r="A449" s="2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2.75" customHeight="1">
      <c r="A450" s="2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2.75" customHeight="1">
      <c r="A451" s="2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2.75" customHeight="1">
      <c r="A452" s="2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2.75" customHeight="1">
      <c r="A453" s="2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2.75" customHeight="1">
      <c r="A454" s="2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2.75" customHeight="1">
      <c r="A455" s="2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2.75" customHeight="1">
      <c r="A456" s="2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2.75" customHeight="1">
      <c r="A457" s="2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2.75" customHeight="1">
      <c r="A458" s="2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2.75" customHeight="1">
      <c r="A459" s="2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2.75" customHeight="1">
      <c r="A460" s="2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2.75" customHeight="1">
      <c r="A461" s="2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2.75" customHeight="1">
      <c r="A462" s="2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2.75" customHeight="1">
      <c r="A463" s="2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2.75" customHeight="1">
      <c r="A464" s="2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2.75" customHeight="1">
      <c r="A465" s="2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2.75" customHeight="1">
      <c r="A466" s="2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2.75" customHeight="1">
      <c r="A467" s="2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2.75" customHeight="1">
      <c r="A468" s="2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2.75" customHeight="1">
      <c r="A469" s="2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2.75" customHeight="1">
      <c r="A470" s="2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2.75" customHeight="1">
      <c r="A471" s="2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2.75" customHeight="1">
      <c r="A472" s="2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2.75" customHeight="1">
      <c r="A473" s="2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2.75" customHeight="1">
      <c r="A474" s="2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2.75" customHeight="1">
      <c r="A475" s="2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2.75" customHeight="1">
      <c r="A476" s="2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2.75" customHeight="1">
      <c r="A477" s="2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2.75" customHeight="1">
      <c r="A478" s="2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2.75" customHeight="1">
      <c r="A479" s="2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2.75" customHeight="1">
      <c r="A480" s="2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2.75" customHeight="1">
      <c r="A481" s="2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2.75" customHeight="1">
      <c r="A482" s="2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2.75" customHeight="1">
      <c r="A483" s="2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2.75" customHeight="1">
      <c r="A484" s="2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2.75" customHeight="1">
      <c r="A485" s="2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2.75" customHeight="1">
      <c r="A486" s="2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2.75" customHeight="1">
      <c r="A487" s="2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2.75" customHeight="1">
      <c r="A488" s="2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2.75" customHeight="1">
      <c r="A489" s="2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2.75" customHeight="1">
      <c r="A490" s="2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2.75" customHeight="1">
      <c r="A491" s="2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2.75" customHeight="1">
      <c r="A492" s="2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2.75" customHeight="1">
      <c r="A493" s="2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2.75" customHeight="1">
      <c r="A494" s="2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2.75" customHeight="1">
      <c r="A495" s="2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2.75" customHeight="1">
      <c r="A496" s="2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2.75" customHeight="1">
      <c r="A497" s="2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2.75" customHeight="1">
      <c r="A498" s="2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2.75" customHeight="1">
      <c r="A499" s="2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2.75" customHeight="1">
      <c r="A500" s="2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2.75" customHeight="1">
      <c r="A501" s="2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2.75" customHeight="1">
      <c r="A502" s="2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2.75" customHeight="1">
      <c r="A503" s="2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2.75" customHeight="1">
      <c r="A504" s="2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2.75" customHeight="1">
      <c r="A505" s="2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2.75" customHeight="1">
      <c r="A506" s="2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2.75" customHeight="1">
      <c r="A507" s="2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2.75" customHeight="1">
      <c r="A508" s="2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2.75" customHeight="1">
      <c r="A509" s="2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2.75" customHeight="1">
      <c r="A510" s="2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2.75" customHeight="1">
      <c r="A511" s="2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2.75" customHeight="1">
      <c r="A512" s="2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2.75" customHeight="1">
      <c r="A513" s="2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2.75" customHeight="1">
      <c r="A514" s="2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2.75" customHeight="1">
      <c r="A515" s="2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2.75" customHeight="1">
      <c r="A516" s="2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2.75" customHeight="1">
      <c r="A517" s="2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2.75" customHeight="1">
      <c r="A518" s="2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2.75" customHeight="1">
      <c r="A519" s="2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2.75" customHeight="1">
      <c r="A520" s="2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2.75" customHeight="1">
      <c r="A521" s="2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2.75" customHeight="1">
      <c r="A522" s="2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2.75" customHeight="1">
      <c r="A523" s="2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2.75" customHeight="1">
      <c r="A524" s="2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2.75" customHeight="1">
      <c r="A525" s="2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2.75" customHeight="1">
      <c r="A526" s="2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2.75" customHeight="1">
      <c r="A527" s="2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2.75" customHeight="1">
      <c r="A528" s="2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2.75" customHeight="1">
      <c r="A529" s="2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2.75" customHeight="1">
      <c r="A530" s="2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2.75" customHeight="1">
      <c r="A531" s="2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2.75" customHeight="1">
      <c r="A532" s="2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2.75" customHeight="1">
      <c r="A533" s="2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2.75" customHeight="1">
      <c r="A534" s="2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2.75" customHeight="1">
      <c r="A535" s="2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2.75" customHeight="1">
      <c r="A536" s="2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2.75" customHeight="1">
      <c r="A537" s="2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2.75" customHeight="1">
      <c r="A538" s="2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2.75" customHeight="1">
      <c r="A539" s="2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2.75" customHeight="1">
      <c r="A540" s="2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2.75" customHeight="1">
      <c r="A541" s="2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2.75" customHeight="1">
      <c r="A542" s="2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2.75" customHeight="1">
      <c r="A543" s="2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2.75" customHeight="1">
      <c r="A544" s="2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2.75" customHeight="1">
      <c r="A545" s="2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2.75" customHeight="1">
      <c r="A546" s="2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2.75" customHeight="1">
      <c r="A547" s="2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2.75" customHeight="1">
      <c r="A548" s="2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2.75" customHeight="1">
      <c r="A549" s="2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2.75" customHeight="1">
      <c r="A550" s="2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2.75" customHeight="1">
      <c r="A551" s="2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2.75" customHeight="1">
      <c r="A552" s="2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2.75" customHeight="1">
      <c r="A553" s="2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2.75" customHeight="1">
      <c r="A554" s="2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2.75" customHeight="1">
      <c r="A555" s="2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2.75" customHeight="1">
      <c r="A556" s="2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2.75" customHeight="1">
      <c r="A557" s="2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2.75" customHeight="1">
      <c r="A558" s="2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2.75" customHeight="1">
      <c r="A559" s="2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2.75" customHeight="1">
      <c r="A560" s="2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2.75" customHeight="1">
      <c r="A561" s="2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2.75" customHeight="1">
      <c r="A562" s="2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2.75" customHeight="1">
      <c r="A563" s="2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2.75" customHeight="1">
      <c r="A564" s="2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2.75" customHeight="1">
      <c r="A565" s="2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2.75" customHeight="1">
      <c r="A566" s="2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2.75" customHeight="1">
      <c r="A567" s="2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2.75" customHeight="1">
      <c r="A568" s="2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2.75" customHeight="1">
      <c r="A569" s="2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2.75" customHeight="1">
      <c r="A570" s="2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2.75" customHeight="1">
      <c r="A571" s="2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2.75" customHeight="1">
      <c r="A572" s="2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2.75" customHeight="1">
      <c r="A573" s="2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2.75" customHeight="1">
      <c r="A574" s="2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2.75" customHeight="1">
      <c r="A575" s="2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2.75" customHeight="1">
      <c r="A576" s="2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2.75" customHeight="1">
      <c r="A577" s="2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2.75" customHeight="1">
      <c r="A578" s="2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2.75" customHeight="1">
      <c r="A579" s="2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2.75" customHeight="1">
      <c r="A580" s="2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2.75" customHeight="1">
      <c r="A581" s="2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2.75" customHeight="1">
      <c r="A582" s="2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2.75" customHeight="1">
      <c r="A583" s="2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2.75" customHeight="1">
      <c r="A584" s="2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2.75" customHeight="1">
      <c r="A585" s="2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2.75" customHeight="1">
      <c r="A586" s="2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2.75" customHeight="1">
      <c r="A587" s="2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2.75" customHeight="1">
      <c r="A588" s="2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2.75" customHeight="1">
      <c r="A589" s="2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2.75" customHeight="1">
      <c r="A590" s="2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2.75" customHeight="1">
      <c r="A591" s="2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2.75" customHeight="1">
      <c r="A592" s="2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2.75" customHeight="1">
      <c r="A593" s="2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2.75" customHeight="1">
      <c r="A594" s="2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2.75" customHeight="1">
      <c r="A595" s="2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2.75" customHeight="1">
      <c r="A596" s="2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2.75" customHeight="1">
      <c r="A597" s="2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2.75" customHeight="1">
      <c r="A598" s="2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2.75" customHeight="1">
      <c r="A599" s="2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2.75" customHeight="1">
      <c r="A600" s="2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2.75" customHeight="1">
      <c r="A601" s="2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2.75" customHeight="1">
      <c r="A602" s="2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2.75" customHeight="1">
      <c r="A603" s="2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2.75" customHeight="1">
      <c r="A604" s="2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2.75" customHeight="1">
      <c r="A605" s="2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2.75" customHeight="1">
      <c r="A606" s="2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2.75" customHeight="1">
      <c r="A607" s="2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2.75" customHeight="1">
      <c r="A608" s="2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2.75" customHeight="1">
      <c r="A609" s="2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2.75" customHeight="1">
      <c r="A610" s="2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2.75" customHeight="1">
      <c r="A611" s="2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2.75" customHeight="1">
      <c r="A612" s="2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2.75" customHeight="1">
      <c r="A613" s="2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2.75" customHeight="1">
      <c r="A614" s="2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2.75" customHeight="1">
      <c r="A615" s="2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2.75" customHeight="1">
      <c r="A616" s="2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2.75" customHeight="1">
      <c r="A617" s="2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2.75" customHeight="1">
      <c r="A618" s="2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2.75" customHeight="1">
      <c r="A619" s="2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2.75" customHeight="1">
      <c r="A620" s="2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2.75" customHeight="1">
      <c r="A621" s="2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2.75" customHeight="1">
      <c r="A622" s="2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2.75" customHeight="1">
      <c r="A623" s="2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2.75" customHeight="1">
      <c r="A624" s="2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2.75" customHeight="1">
      <c r="A625" s="2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2.75" customHeight="1">
      <c r="A626" s="2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2.75" customHeight="1">
      <c r="A627" s="2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2.75" customHeight="1">
      <c r="A628" s="2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2.75" customHeight="1">
      <c r="A629" s="2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2.75" customHeight="1">
      <c r="A630" s="2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2.75" customHeight="1">
      <c r="A631" s="2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2.75" customHeight="1">
      <c r="A632" s="2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2.75" customHeight="1">
      <c r="A633" s="2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2.75" customHeight="1">
      <c r="A634" s="2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2.75" customHeight="1">
      <c r="A635" s="2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2.75" customHeight="1">
      <c r="A636" s="2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2.75" customHeight="1">
      <c r="A637" s="2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2.75" customHeight="1">
      <c r="A638" s="2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2.75" customHeight="1">
      <c r="A639" s="2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2.75" customHeight="1">
      <c r="A640" s="2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2.75" customHeight="1">
      <c r="A641" s="2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2.75" customHeight="1">
      <c r="A642" s="2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2.75" customHeight="1">
      <c r="A643" s="2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2.75" customHeight="1">
      <c r="A644" s="2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2.75" customHeight="1">
      <c r="A645" s="2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2.75" customHeight="1">
      <c r="A646" s="2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2.75" customHeight="1">
      <c r="A647" s="2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2.75" customHeight="1">
      <c r="A648" s="2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2.75" customHeight="1">
      <c r="A649" s="2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2.75" customHeight="1">
      <c r="A650" s="2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2.75" customHeight="1">
      <c r="A651" s="2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2.75" customHeight="1">
      <c r="A652" s="2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2.75" customHeight="1">
      <c r="A653" s="2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2.75" customHeight="1">
      <c r="A654" s="2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2.75" customHeight="1">
      <c r="A655" s="2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2.75" customHeight="1">
      <c r="A656" s="2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2.75" customHeight="1">
      <c r="A657" s="2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2.75" customHeight="1">
      <c r="A658" s="2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2.75" customHeight="1">
      <c r="A659" s="2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2.75" customHeight="1">
      <c r="A660" s="2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2.75" customHeight="1">
      <c r="A661" s="2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2.75" customHeight="1">
      <c r="A662" s="2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2.75" customHeight="1">
      <c r="A663" s="2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2.75" customHeight="1">
      <c r="A664" s="2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2.75" customHeight="1">
      <c r="A665" s="2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2.75" customHeight="1">
      <c r="A666" s="2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2.75" customHeight="1">
      <c r="A667" s="2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2.75" customHeight="1">
      <c r="A668" s="2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2.75" customHeight="1">
      <c r="A669" s="2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2.75" customHeight="1">
      <c r="A670" s="2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2.75" customHeight="1">
      <c r="A671" s="2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2.75" customHeight="1">
      <c r="A672" s="2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2.75" customHeight="1">
      <c r="A673" s="2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2.75" customHeight="1">
      <c r="A674" s="2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2.75" customHeight="1">
      <c r="A675" s="2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2.75" customHeight="1">
      <c r="A676" s="2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2.75" customHeight="1">
      <c r="A677" s="2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2.75" customHeight="1">
      <c r="A678" s="2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2.75" customHeight="1">
      <c r="A679" s="2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2.75" customHeight="1">
      <c r="A680" s="2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2.75" customHeight="1">
      <c r="A681" s="2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2.75" customHeight="1">
      <c r="A682" s="2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2.75" customHeight="1">
      <c r="A683" s="2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2.75" customHeight="1">
      <c r="A684" s="2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2.75" customHeight="1">
      <c r="A685" s="2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2.75" customHeight="1">
      <c r="A686" s="2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2.75" customHeight="1">
      <c r="A687" s="2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2.75" customHeight="1">
      <c r="A688" s="2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2.75" customHeight="1">
      <c r="A689" s="2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2.75" customHeight="1">
      <c r="A690" s="2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2.75" customHeight="1">
      <c r="A691" s="2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2.75" customHeight="1">
      <c r="A692" s="2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2.75" customHeight="1">
      <c r="A693" s="2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2.75" customHeight="1">
      <c r="A694" s="2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2.75" customHeight="1">
      <c r="A695" s="2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2.75" customHeight="1">
      <c r="A696" s="2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2.75" customHeight="1">
      <c r="A697" s="2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2.75" customHeight="1">
      <c r="A698" s="2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2.75" customHeight="1">
      <c r="A699" s="2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2.75" customHeight="1">
      <c r="A700" s="2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2.75" customHeight="1">
      <c r="A701" s="2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2.75" customHeight="1">
      <c r="A702" s="2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2.75" customHeight="1">
      <c r="A703" s="2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2.75" customHeight="1">
      <c r="A704" s="2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2.75" customHeight="1">
      <c r="A705" s="2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2.75" customHeight="1">
      <c r="A706" s="2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2.75" customHeight="1">
      <c r="A707" s="2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2.75" customHeight="1">
      <c r="A708" s="2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2.75" customHeight="1">
      <c r="A709" s="2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2.75" customHeight="1">
      <c r="A710" s="2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2.75" customHeight="1">
      <c r="A711" s="2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2.75" customHeight="1">
      <c r="A712" s="2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2.75" customHeight="1">
      <c r="A713" s="2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2.75" customHeight="1">
      <c r="A714" s="2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2.75" customHeight="1">
      <c r="A715" s="2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2.75" customHeight="1">
      <c r="A716" s="2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2.75" customHeight="1">
      <c r="A717" s="2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2.75" customHeight="1">
      <c r="A718" s="2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2.75" customHeight="1">
      <c r="A719" s="2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2.75" customHeight="1">
      <c r="A720" s="2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2.75" customHeight="1">
      <c r="A721" s="2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2.75" customHeight="1">
      <c r="A722" s="2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2.75" customHeight="1">
      <c r="A723" s="2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2.75" customHeight="1">
      <c r="A724" s="2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2.75" customHeight="1">
      <c r="A725" s="2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2.75" customHeight="1">
      <c r="A726" s="2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2.75" customHeight="1">
      <c r="A727" s="2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2.75" customHeight="1">
      <c r="A728" s="2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2.75" customHeight="1">
      <c r="A729" s="2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2.75" customHeight="1">
      <c r="A730" s="2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2.75" customHeight="1">
      <c r="A731" s="2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2.75" customHeight="1">
      <c r="A732" s="2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2.75" customHeight="1">
      <c r="A733" s="2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2.75" customHeight="1">
      <c r="A734" s="2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2.75" customHeight="1">
      <c r="A735" s="2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2.75" customHeight="1">
      <c r="A736" s="2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2.75" customHeight="1">
      <c r="A737" s="2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2.75" customHeight="1">
      <c r="A738" s="2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2.75" customHeight="1">
      <c r="A739" s="2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2.75" customHeight="1">
      <c r="A740" s="2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2.75" customHeight="1">
      <c r="A741" s="2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2.75" customHeight="1">
      <c r="A742" s="2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2.75" customHeight="1">
      <c r="A743" s="2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2.75" customHeight="1">
      <c r="A744" s="2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2.75" customHeight="1">
      <c r="A745" s="2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2.75" customHeight="1">
      <c r="A746" s="2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2.75" customHeight="1">
      <c r="A747" s="2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2.75" customHeight="1">
      <c r="A748" s="2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2.75" customHeight="1">
      <c r="A749" s="2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2.75" customHeight="1">
      <c r="A750" s="2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2.75" customHeight="1">
      <c r="A751" s="2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2.75" customHeight="1">
      <c r="A752" s="2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2.75" customHeight="1">
      <c r="A753" s="2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2.75" customHeight="1">
      <c r="A754" s="2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2.75" customHeight="1">
      <c r="A755" s="2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2.75" customHeight="1">
      <c r="A756" s="2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2.75" customHeight="1">
      <c r="A757" s="2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2.75" customHeight="1">
      <c r="A758" s="2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2.75" customHeight="1">
      <c r="A759" s="2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2.75" customHeight="1">
      <c r="A760" s="2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2.75" customHeight="1">
      <c r="A761" s="2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2.75" customHeight="1">
      <c r="A762" s="2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2.75" customHeight="1">
      <c r="A763" s="2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2.75" customHeight="1">
      <c r="A764" s="2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2.75" customHeight="1">
      <c r="A765" s="2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2.75" customHeight="1">
      <c r="A766" s="2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2.75" customHeight="1">
      <c r="A767" s="2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2.75" customHeight="1">
      <c r="A768" s="2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2.75" customHeight="1">
      <c r="A769" s="2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2.75" customHeight="1">
      <c r="A770" s="2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2.75" customHeight="1">
      <c r="A771" s="2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2.75" customHeight="1">
      <c r="A772" s="2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2.75" customHeight="1">
      <c r="A773" s="2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2.75" customHeight="1">
      <c r="A774" s="2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2.75" customHeight="1">
      <c r="A775" s="2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2.75" customHeight="1">
      <c r="A776" s="2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2.75" customHeight="1">
      <c r="A777" s="2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2.75" customHeight="1">
      <c r="A778" s="2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2.75" customHeight="1">
      <c r="A779" s="2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2.75" customHeight="1">
      <c r="A780" s="2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2.75" customHeight="1">
      <c r="A781" s="2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2.75" customHeight="1">
      <c r="A782" s="2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2.75" customHeight="1">
      <c r="A783" s="2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2.75" customHeight="1">
      <c r="A784" s="2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2.75" customHeight="1">
      <c r="A785" s="2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2.75" customHeight="1">
      <c r="A786" s="2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2.75" customHeight="1">
      <c r="A787" s="2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2.75" customHeight="1">
      <c r="A788" s="2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2.75" customHeight="1">
      <c r="A789" s="2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2.75" customHeight="1">
      <c r="A790" s="2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2.75" customHeight="1">
      <c r="A791" s="2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2.75" customHeight="1">
      <c r="A792" s="2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2.75" customHeight="1">
      <c r="A793" s="2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2.75" customHeight="1">
      <c r="A794" s="2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2.75" customHeight="1">
      <c r="A795" s="2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2.75" customHeight="1">
      <c r="A796" s="2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2.75" customHeight="1">
      <c r="A797" s="2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2.75" customHeight="1">
      <c r="A798" s="2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2.75" customHeight="1">
      <c r="A799" s="2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2.75" customHeight="1">
      <c r="A800" s="2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2.75" customHeight="1">
      <c r="A801" s="2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2.75" customHeight="1">
      <c r="A802" s="2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2.75" customHeight="1">
      <c r="A803" s="2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2.75" customHeight="1">
      <c r="A804" s="2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2.75" customHeight="1">
      <c r="A805" s="2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2.75" customHeight="1">
      <c r="A806" s="2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2.75" customHeight="1">
      <c r="A807" s="2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2.75" customHeight="1">
      <c r="A808" s="2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2.75" customHeight="1">
      <c r="A809" s="2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2.75" customHeight="1">
      <c r="A810" s="2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2.75" customHeight="1">
      <c r="A811" s="2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2.75" customHeight="1">
      <c r="A812" s="2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2.75" customHeight="1">
      <c r="A813" s="2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2.75" customHeight="1">
      <c r="A814" s="2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2.75" customHeight="1">
      <c r="A815" s="2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2.75" customHeight="1">
      <c r="A816" s="2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2.75" customHeight="1">
      <c r="A817" s="2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2.75" customHeight="1">
      <c r="A818" s="2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2.75" customHeight="1">
      <c r="A819" s="2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2.75" customHeight="1">
      <c r="A820" s="2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2.75" customHeight="1">
      <c r="A821" s="2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2.75" customHeight="1">
      <c r="A822" s="2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2.75" customHeight="1">
      <c r="A823" s="2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2.75" customHeight="1">
      <c r="A824" s="2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2.75" customHeight="1">
      <c r="A825" s="2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2.75" customHeight="1">
      <c r="A826" s="2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2.75" customHeight="1">
      <c r="A827" s="2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2.75" customHeight="1">
      <c r="A828" s="2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2.75" customHeight="1">
      <c r="A829" s="2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2.75" customHeight="1">
      <c r="A830" s="2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2.75" customHeight="1">
      <c r="A831" s="2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2.75" customHeight="1">
      <c r="A832" s="2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2.75" customHeight="1">
      <c r="A833" s="2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2.75" customHeight="1">
      <c r="A834" s="2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2.75" customHeight="1">
      <c r="A835" s="2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2.75" customHeight="1">
      <c r="A836" s="2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2.75" customHeight="1">
      <c r="A837" s="2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2.75" customHeight="1">
      <c r="A838" s="2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2.75" customHeight="1">
      <c r="A839" s="2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2.75" customHeight="1">
      <c r="A840" s="2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2.75" customHeight="1">
      <c r="A841" s="2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2.75" customHeight="1">
      <c r="A842" s="2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2.75" customHeight="1">
      <c r="A843" s="2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2.75" customHeight="1">
      <c r="A844" s="2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2.75" customHeight="1">
      <c r="A845" s="2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2.75" customHeight="1">
      <c r="A846" s="2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2.75" customHeight="1">
      <c r="A847" s="2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2.75" customHeight="1">
      <c r="A848" s="2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2.75" customHeight="1">
      <c r="A849" s="2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2.75" customHeight="1">
      <c r="A850" s="2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2.75" customHeight="1">
      <c r="A851" s="2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2.75" customHeight="1">
      <c r="A852" s="2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2.75" customHeight="1">
      <c r="A853" s="2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2.75" customHeight="1">
      <c r="A854" s="2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2.75" customHeight="1">
      <c r="A855" s="2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2.75" customHeight="1">
      <c r="A856" s="2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2.75" customHeight="1">
      <c r="A857" s="2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2.75" customHeight="1">
      <c r="A858" s="2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2.75" customHeight="1">
      <c r="A859" s="2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2.75" customHeight="1">
      <c r="A860" s="2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2.75" customHeight="1">
      <c r="A861" s="2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2.75" customHeight="1">
      <c r="A862" s="2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2.75" customHeight="1">
      <c r="A863" s="2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2.75" customHeight="1">
      <c r="A864" s="2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2.75" customHeight="1">
      <c r="A865" s="2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2.75" customHeight="1">
      <c r="A866" s="2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2.75" customHeight="1">
      <c r="A867" s="2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2.75" customHeight="1">
      <c r="A868" s="2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2.75" customHeight="1">
      <c r="A869" s="2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2.75" customHeight="1">
      <c r="A870" s="2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2.75" customHeight="1">
      <c r="A871" s="2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2.75" customHeight="1">
      <c r="A872" s="2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2.75" customHeight="1">
      <c r="A873" s="2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2.75" customHeight="1">
      <c r="A874" s="2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2.75" customHeight="1">
      <c r="A875" s="2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2.75" customHeight="1">
      <c r="A876" s="2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2.75" customHeight="1">
      <c r="A877" s="2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2.75" customHeight="1">
      <c r="A878" s="2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2.75" customHeight="1">
      <c r="A879" s="2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2.75" customHeight="1">
      <c r="A880" s="2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2.75" customHeight="1">
      <c r="A881" s="2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2.75" customHeight="1">
      <c r="A882" s="2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2.75" customHeight="1">
      <c r="A883" s="2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2.75" customHeight="1">
      <c r="A884" s="2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2.75" customHeight="1">
      <c r="A885" s="2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2.75" customHeight="1">
      <c r="A886" s="2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2.75" customHeight="1">
      <c r="A887" s="2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2.75" customHeight="1">
      <c r="A888" s="2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2.75" customHeight="1">
      <c r="A889" s="2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2.75" customHeight="1">
      <c r="A890" s="2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2.75" customHeight="1">
      <c r="A891" s="2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2.75" customHeight="1">
      <c r="A892" s="2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2.75" customHeight="1">
      <c r="A893" s="2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2.75" customHeight="1">
      <c r="A894" s="2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2.75" customHeight="1">
      <c r="A895" s="2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2.75" customHeight="1">
      <c r="A896" s="2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2.75" customHeight="1">
      <c r="A897" s="2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2.75" customHeight="1">
      <c r="A898" s="2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2.75" customHeight="1">
      <c r="A899" s="2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2.75" customHeight="1">
      <c r="A900" s="2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2.75" customHeight="1">
      <c r="A901" s="2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2.75" customHeight="1">
      <c r="A902" s="2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2.75" customHeight="1">
      <c r="A903" s="2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2.75" customHeight="1">
      <c r="A904" s="2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2.75" customHeight="1">
      <c r="A905" s="2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2.75" customHeight="1">
      <c r="A906" s="2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2.75" customHeight="1">
      <c r="A907" s="2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2.75" customHeight="1">
      <c r="A908" s="2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2.75" customHeight="1">
      <c r="A909" s="2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2.75" customHeight="1">
      <c r="A910" s="2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2.75" customHeight="1">
      <c r="A911" s="2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2.75" customHeight="1">
      <c r="A912" s="2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2.75" customHeight="1">
      <c r="A913" s="2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2.75" customHeight="1">
      <c r="A914" s="2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2.75" customHeight="1">
      <c r="A915" s="2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2.75" customHeight="1">
      <c r="A916" s="2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2.75" customHeight="1">
      <c r="A917" s="2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2.75" customHeight="1">
      <c r="A918" s="2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2.75" customHeight="1">
      <c r="A919" s="2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2.75" customHeight="1">
      <c r="A920" s="2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2.75" customHeight="1">
      <c r="A921" s="2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2.75" customHeight="1">
      <c r="A922" s="2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2.75" customHeight="1">
      <c r="A923" s="2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2.75" customHeight="1">
      <c r="A924" s="2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2.75" customHeight="1">
      <c r="A925" s="2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2.75" customHeight="1">
      <c r="A926" s="2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2.75" customHeight="1">
      <c r="A927" s="2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2.75" customHeight="1">
      <c r="A928" s="2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2.75" customHeight="1">
      <c r="A929" s="2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2.75" customHeight="1">
      <c r="A930" s="2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2.75" customHeight="1">
      <c r="A931" s="2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2.75" customHeight="1">
      <c r="A932" s="2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2.75" customHeight="1">
      <c r="A933" s="2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2.75" customHeight="1">
      <c r="A934" s="2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2.75" customHeight="1">
      <c r="A935" s="2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2.75" customHeight="1">
      <c r="A936" s="2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2.75" customHeight="1">
      <c r="A937" s="2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2.75" customHeight="1">
      <c r="A938" s="2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2.75" customHeight="1">
      <c r="A939" s="2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2.75" customHeight="1">
      <c r="A940" s="2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2.75" customHeight="1">
      <c r="A941" s="2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2.75" customHeight="1">
      <c r="A942" s="2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2.75" customHeight="1">
      <c r="A943" s="2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2.75" customHeight="1">
      <c r="A944" s="2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2.75" customHeight="1">
      <c r="A945" s="2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2.75" customHeight="1">
      <c r="A946" s="2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2.75" customHeight="1">
      <c r="A947" s="2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2.75" customHeight="1">
      <c r="A948" s="2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2.75" customHeight="1">
      <c r="A949" s="2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2.75" customHeight="1">
      <c r="A950" s="2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2.75" customHeight="1">
      <c r="A951" s="2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2.75" customHeight="1">
      <c r="A952" s="2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2.75" customHeight="1">
      <c r="A953" s="2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2.75" customHeight="1">
      <c r="A954" s="2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2.75" customHeight="1">
      <c r="A955" s="2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2.75" customHeight="1">
      <c r="A956" s="2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2.75" customHeight="1">
      <c r="A957" s="2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2.75" customHeight="1">
      <c r="A958" s="2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2.75" customHeight="1">
      <c r="A959" s="2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2.75" customHeight="1">
      <c r="A960" s="2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2.75" customHeight="1">
      <c r="A961" s="2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2.75" customHeight="1">
      <c r="A962" s="2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2.75" customHeight="1">
      <c r="A963" s="2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2.75" customHeight="1">
      <c r="A964" s="2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2.75" customHeight="1">
      <c r="A965" s="2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2.75" customHeight="1">
      <c r="A966" s="2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2.75" customHeight="1">
      <c r="A967" s="2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2.75" customHeight="1">
      <c r="A968" s="2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2.75" customHeight="1">
      <c r="A969" s="2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2.75" customHeight="1">
      <c r="A970" s="2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2.75" customHeight="1">
      <c r="A971" s="2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2.75" customHeight="1">
      <c r="A972" s="2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2.75" customHeight="1">
      <c r="A973" s="2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2.75" customHeight="1">
      <c r="A974" s="2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2.75" customHeight="1">
      <c r="A975" s="2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2.75" customHeight="1">
      <c r="A976" s="2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2.75" customHeight="1">
      <c r="A977" s="2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2.75" customHeight="1">
      <c r="A978" s="2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2.75" customHeight="1">
      <c r="A979" s="2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2.75" customHeight="1">
      <c r="A980" s="2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2.75" customHeight="1">
      <c r="A981" s="2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2.75" customHeight="1">
      <c r="A982" s="2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2.75" customHeight="1">
      <c r="A983" s="2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2.75" customHeight="1">
      <c r="A984" s="2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2.75" customHeight="1">
      <c r="A985" s="2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2.75" customHeight="1">
      <c r="A986" s="2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2.75" customHeight="1">
      <c r="A987" s="2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2.75" customHeight="1">
      <c r="A988" s="2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2.75" customHeight="1">
      <c r="A989" s="2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2.75" customHeight="1">
      <c r="A990" s="2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2.75" customHeight="1">
      <c r="A991" s="2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2.75" customHeight="1">
      <c r="A992" s="2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2.75" customHeight="1">
      <c r="A993" s="2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2.75" customHeight="1">
      <c r="A994" s="2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2.75" customHeight="1">
      <c r="A995" s="2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2.75" customHeight="1">
      <c r="A996" s="2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2.75" customHeight="1">
      <c r="A997" s="2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2.75" customHeight="1">
      <c r="A998" s="2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2.75" customHeight="1">
      <c r="A999" s="2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2.75" customHeight="1">
      <c r="A1000" s="2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3">
    <mergeCell ref="B1:H1"/>
    <mergeCell ref="D13:H13"/>
    <mergeCell ref="D14:H14"/>
  </mergeCells>
  <printOptions horizontalCentered="1"/>
  <pageMargins left="0.5" right="0.5" top="0.75" bottom="0.75" header="0" footer="0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Views>
    <sheetView tabSelected="1" topLeftCell="A4" zoomScaleNormal="100" workbookViewId="0">
      <selection activeCell="E7" sqref="E7"/>
    </sheetView>
  </sheetViews>
  <sheetFormatPr defaultColWidth="12.625" defaultRowHeight="15" customHeight="1"/>
  <cols>
    <col min="1" max="1" width="3.25" style="51" bestFit="1" customWidth="1"/>
    <col min="2" max="2" width="15.75" style="51" bestFit="1" customWidth="1"/>
    <col min="3" max="3" width="11.5" style="51" bestFit="1" customWidth="1"/>
    <col min="4" max="4" width="33" style="51" bestFit="1" customWidth="1"/>
    <col min="5" max="5" width="24.75" style="51" bestFit="1" customWidth="1"/>
    <col min="6" max="6" width="29" style="51" bestFit="1" customWidth="1"/>
    <col min="7" max="7" width="18.25" style="51" bestFit="1" customWidth="1"/>
    <col min="8" max="8" width="8.75" style="58" bestFit="1" customWidth="1"/>
    <col min="9" max="16384" width="12.625" style="51"/>
  </cols>
  <sheetData>
    <row r="1" spans="1:10" ht="11.25">
      <c r="A1" s="49"/>
      <c r="B1" s="49"/>
      <c r="C1" s="49"/>
      <c r="D1" s="49"/>
      <c r="E1" s="49"/>
      <c r="F1" s="49"/>
      <c r="G1" s="49"/>
      <c r="H1" s="50">
        <f>SUM(H3:H20)</f>
        <v>25161.600000000002</v>
      </c>
    </row>
    <row r="2" spans="1:10" ht="11.25">
      <c r="A2" s="52" t="s">
        <v>1</v>
      </c>
      <c r="B2" s="52" t="s">
        <v>2</v>
      </c>
      <c r="C2" s="52" t="s">
        <v>3</v>
      </c>
      <c r="D2" s="52" t="s">
        <v>4</v>
      </c>
      <c r="E2" s="52" t="s">
        <v>5</v>
      </c>
      <c r="F2" s="52" t="s">
        <v>6</v>
      </c>
      <c r="G2" s="52" t="s">
        <v>7</v>
      </c>
      <c r="H2" s="53" t="s">
        <v>8</v>
      </c>
    </row>
    <row r="3" spans="1:10" ht="57.75" customHeight="1">
      <c r="A3" s="54">
        <v>1</v>
      </c>
      <c r="B3" s="54" t="s">
        <v>9</v>
      </c>
      <c r="C3" s="54" t="s">
        <v>10</v>
      </c>
      <c r="D3" s="54" t="s">
        <v>11</v>
      </c>
      <c r="E3" s="54"/>
      <c r="F3" s="54"/>
      <c r="G3" s="54" t="s">
        <v>12</v>
      </c>
      <c r="H3" s="55">
        <v>12496</v>
      </c>
    </row>
    <row r="4" spans="1:10" ht="67.5">
      <c r="A4" s="54">
        <v>2</v>
      </c>
      <c r="B4" s="54" t="s">
        <v>13</v>
      </c>
      <c r="C4" s="54" t="s">
        <v>14</v>
      </c>
      <c r="D4" s="54" t="s">
        <v>15</v>
      </c>
      <c r="E4" s="54" t="s">
        <v>16</v>
      </c>
      <c r="F4" s="54" t="s">
        <v>216</v>
      </c>
      <c r="G4" s="56" t="s">
        <v>19</v>
      </c>
      <c r="H4" s="57">
        <v>910.4</v>
      </c>
    </row>
    <row r="5" spans="1:10" ht="22.5">
      <c r="A5" s="54">
        <v>3</v>
      </c>
      <c r="B5" s="54" t="s">
        <v>21</v>
      </c>
      <c r="C5" s="54" t="s">
        <v>14</v>
      </c>
      <c r="D5" s="54"/>
      <c r="E5" s="54" t="s">
        <v>22</v>
      </c>
      <c r="F5" s="54" t="s">
        <v>23</v>
      </c>
      <c r="G5" s="56" t="s">
        <v>19</v>
      </c>
      <c r="H5" s="57"/>
      <c r="I5" s="58"/>
      <c r="J5" s="58"/>
    </row>
    <row r="6" spans="1:10" ht="45">
      <c r="A6" s="54">
        <v>4</v>
      </c>
      <c r="B6" s="54" t="s">
        <v>24</v>
      </c>
      <c r="C6" s="54" t="s">
        <v>25</v>
      </c>
      <c r="D6" s="54" t="s">
        <v>26</v>
      </c>
      <c r="E6" s="54" t="s">
        <v>27</v>
      </c>
      <c r="F6" s="54" t="s">
        <v>214</v>
      </c>
      <c r="G6" s="54" t="s">
        <v>29</v>
      </c>
      <c r="H6" s="62">
        <v>800</v>
      </c>
      <c r="I6" s="59" t="s">
        <v>94</v>
      </c>
      <c r="J6" s="59"/>
    </row>
    <row r="7" spans="1:10" ht="146.25">
      <c r="A7" s="54">
        <v>5</v>
      </c>
      <c r="B7" s="56" t="s">
        <v>34</v>
      </c>
      <c r="C7" s="54" t="s">
        <v>35</v>
      </c>
      <c r="D7" s="54"/>
      <c r="E7" s="54" t="s">
        <v>36</v>
      </c>
      <c r="F7" s="54" t="s">
        <v>217</v>
      </c>
      <c r="G7" s="54" t="s">
        <v>29</v>
      </c>
      <c r="H7" s="60">
        <v>998.42</v>
      </c>
      <c r="I7" s="58" t="s">
        <v>212</v>
      </c>
      <c r="J7" s="58"/>
    </row>
    <row r="8" spans="1:10" ht="45">
      <c r="A8" s="54">
        <v>6</v>
      </c>
      <c r="B8" s="54" t="s">
        <v>38</v>
      </c>
      <c r="C8" s="54" t="s">
        <v>35</v>
      </c>
      <c r="D8" s="54"/>
      <c r="E8" s="54" t="s">
        <v>36</v>
      </c>
      <c r="F8" s="54" t="s">
        <v>215</v>
      </c>
      <c r="G8" s="54" t="s">
        <v>29</v>
      </c>
      <c r="H8" s="60"/>
      <c r="I8" s="58"/>
      <c r="J8" s="58"/>
    </row>
    <row r="9" spans="1:10" ht="22.5">
      <c r="A9" s="54">
        <v>7</v>
      </c>
      <c r="B9" s="54" t="s">
        <v>39</v>
      </c>
      <c r="C9" s="54" t="s">
        <v>40</v>
      </c>
      <c r="D9" s="54" t="s">
        <v>41</v>
      </c>
      <c r="E9" s="54" t="s">
        <v>42</v>
      </c>
      <c r="F9" s="54" t="s">
        <v>43</v>
      </c>
      <c r="G9" s="54" t="s">
        <v>44</v>
      </c>
      <c r="H9" s="62">
        <v>768</v>
      </c>
      <c r="I9" s="59" t="s">
        <v>94</v>
      </c>
      <c r="J9" s="59"/>
    </row>
    <row r="10" spans="1:10" ht="11.25">
      <c r="A10" s="54">
        <v>8</v>
      </c>
      <c r="B10" s="54" t="s">
        <v>48</v>
      </c>
      <c r="C10" s="54" t="s">
        <v>49</v>
      </c>
      <c r="D10" s="54"/>
      <c r="E10" s="54"/>
      <c r="F10" s="54" t="s">
        <v>50</v>
      </c>
      <c r="G10" s="54" t="s">
        <v>44</v>
      </c>
      <c r="H10" s="62">
        <v>995</v>
      </c>
      <c r="I10" s="58" t="s">
        <v>213</v>
      </c>
      <c r="J10" s="58"/>
    </row>
    <row r="11" spans="1:10" ht="11.25">
      <c r="A11" s="54">
        <v>9</v>
      </c>
      <c r="B11" s="54" t="s">
        <v>51</v>
      </c>
      <c r="C11" s="54" t="s">
        <v>52</v>
      </c>
      <c r="D11" s="54"/>
      <c r="E11" s="54"/>
      <c r="F11" s="54" t="s">
        <v>50</v>
      </c>
      <c r="G11" s="54" t="s">
        <v>44</v>
      </c>
      <c r="H11" s="62">
        <v>2000</v>
      </c>
      <c r="I11" s="51" t="s">
        <v>213</v>
      </c>
    </row>
    <row r="12" spans="1:10" ht="11.25">
      <c r="A12" s="54">
        <v>10</v>
      </c>
      <c r="B12" s="54" t="s">
        <v>56</v>
      </c>
      <c r="C12" s="54" t="s">
        <v>57</v>
      </c>
      <c r="D12" s="54" t="s">
        <v>58</v>
      </c>
      <c r="E12" s="54" t="s">
        <v>59</v>
      </c>
      <c r="F12" s="54" t="s">
        <v>60</v>
      </c>
      <c r="G12" s="54" t="s">
        <v>61</v>
      </c>
      <c r="H12" s="60">
        <v>763.95</v>
      </c>
      <c r="I12" s="51" t="s">
        <v>210</v>
      </c>
    </row>
    <row r="13" spans="1:10" ht="11.25">
      <c r="A13" s="54">
        <v>11</v>
      </c>
      <c r="B13" s="54" t="s">
        <v>62</v>
      </c>
      <c r="C13" s="54" t="s">
        <v>63</v>
      </c>
      <c r="D13" s="54" t="s">
        <v>65</v>
      </c>
      <c r="E13" s="54" t="s">
        <v>66</v>
      </c>
      <c r="F13" s="54"/>
      <c r="G13" s="54" t="s">
        <v>68</v>
      </c>
      <c r="H13" s="60">
        <v>1513.75</v>
      </c>
    </row>
    <row r="14" spans="1:10" ht="33.75">
      <c r="A14" s="54">
        <v>12</v>
      </c>
      <c r="B14" s="54" t="s">
        <v>69</v>
      </c>
      <c r="C14" s="54" t="s">
        <v>63</v>
      </c>
      <c r="D14" s="54"/>
      <c r="E14" s="54" t="s">
        <v>68</v>
      </c>
      <c r="F14" s="61" t="s">
        <v>71</v>
      </c>
      <c r="G14" s="54" t="s">
        <v>68</v>
      </c>
      <c r="H14" s="60"/>
    </row>
    <row r="15" spans="1:10" ht="11.25">
      <c r="A15" s="54">
        <v>13</v>
      </c>
      <c r="B15" s="54" t="s">
        <v>73</v>
      </c>
      <c r="C15" s="54" t="s">
        <v>63</v>
      </c>
      <c r="D15" s="54"/>
      <c r="E15" s="54" t="s">
        <v>68</v>
      </c>
      <c r="F15" s="56" t="s">
        <v>74</v>
      </c>
      <c r="G15" s="54" t="s">
        <v>68</v>
      </c>
      <c r="H15" s="60"/>
    </row>
    <row r="16" spans="1:10" ht="11.25">
      <c r="A16" s="54">
        <v>14</v>
      </c>
      <c r="B16" s="54" t="s">
        <v>75</v>
      </c>
      <c r="C16" s="54" t="s">
        <v>76</v>
      </c>
      <c r="D16" s="54" t="s">
        <v>77</v>
      </c>
      <c r="E16" s="54" t="s">
        <v>79</v>
      </c>
      <c r="F16" s="54"/>
      <c r="G16" s="54" t="s">
        <v>81</v>
      </c>
      <c r="H16" s="60">
        <v>2125.7399999999998</v>
      </c>
      <c r="I16" s="58" t="s">
        <v>211</v>
      </c>
    </row>
    <row r="17" spans="1:9" ht="11.25">
      <c r="A17" s="54">
        <v>15</v>
      </c>
      <c r="B17" s="54" t="s">
        <v>78</v>
      </c>
      <c r="C17" s="54" t="s">
        <v>14</v>
      </c>
      <c r="D17" s="54"/>
      <c r="E17" s="54" t="s">
        <v>81</v>
      </c>
      <c r="F17" s="54"/>
      <c r="G17" s="54" t="s">
        <v>81</v>
      </c>
      <c r="H17" s="57">
        <v>1790.34</v>
      </c>
      <c r="I17" s="51" t="s">
        <v>209</v>
      </c>
    </row>
    <row r="18" spans="1:9" ht="11.25">
      <c r="A18" s="54">
        <v>16</v>
      </c>
      <c r="B18" s="54" t="s">
        <v>82</v>
      </c>
      <c r="C18" s="54" t="s">
        <v>14</v>
      </c>
      <c r="D18" s="54"/>
      <c r="E18" s="54" t="s">
        <v>81</v>
      </c>
      <c r="F18" s="54"/>
      <c r="G18" s="54" t="s">
        <v>81</v>
      </c>
      <c r="H18" s="57"/>
    </row>
    <row r="19" spans="1:9" ht="101.25">
      <c r="A19" s="54">
        <v>17</v>
      </c>
      <c r="B19" s="54" t="s">
        <v>83</v>
      </c>
      <c r="C19" s="54" t="s">
        <v>84</v>
      </c>
      <c r="D19" s="54" t="s">
        <v>85</v>
      </c>
      <c r="E19" s="54" t="s">
        <v>86</v>
      </c>
      <c r="F19" s="54"/>
      <c r="G19" s="61"/>
      <c r="H19" s="57"/>
    </row>
    <row r="20" spans="1:9" ht="19.5" customHeight="1">
      <c r="A20" s="54">
        <v>18</v>
      </c>
      <c r="B20" s="54" t="s">
        <v>87</v>
      </c>
      <c r="C20" s="54" t="s">
        <v>88</v>
      </c>
      <c r="D20" s="54" t="s">
        <v>89</v>
      </c>
      <c r="E20" s="54"/>
      <c r="F20" s="54"/>
      <c r="G20" s="61"/>
      <c r="H20" s="57"/>
    </row>
  </sheetData>
  <conditionalFormatting sqref="B4:B20">
    <cfRule type="notContainsBlanks" dxfId="5" priority="1">
      <formula>LEN(TRIM(B4))&gt;0</formula>
    </cfRule>
  </conditionalFormatting>
  <conditionalFormatting sqref="B3:B20">
    <cfRule type="notContainsBlanks" dxfId="4" priority="2">
      <formula>LEN(TRIM(B3))&gt;0</formula>
    </cfRule>
  </conditionalFormatting>
  <conditionalFormatting sqref="B3:B20">
    <cfRule type="timePeriod" dxfId="3" priority="3" timePeriod="today">
      <formula>FLOOR(B3,1)=TODAY()</formula>
    </cfRule>
  </conditionalFormatting>
  <pageMargins left="0.75" right="0.75" top="1" bottom="1" header="0.5" footer="0.5"/>
  <pageSetup paperSize="9" orientation="portrait" verticalDpi="0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21"/>
  <sheetViews>
    <sheetView topLeftCell="C7" workbookViewId="0"/>
  </sheetViews>
  <sheetFormatPr defaultColWidth="12.625" defaultRowHeight="15" customHeight="1"/>
  <cols>
    <col min="1" max="1" width="4.875" customWidth="1"/>
    <col min="2" max="2" width="17" customWidth="1"/>
    <col min="3" max="3" width="21.125" customWidth="1"/>
    <col min="4" max="4" width="36.25" customWidth="1"/>
    <col min="5" max="5" width="30.625" customWidth="1"/>
    <col min="6" max="6" width="29.125" customWidth="1"/>
    <col min="7" max="7" width="1.25" customWidth="1"/>
    <col min="8" max="8" width="22" customWidth="1"/>
  </cols>
  <sheetData>
    <row r="1" spans="1:9" ht="16.5">
      <c r="A1" s="1"/>
      <c r="B1" s="1"/>
      <c r="C1" s="1"/>
      <c r="D1" s="1"/>
      <c r="E1" s="1"/>
      <c r="F1" s="1"/>
      <c r="G1" s="1"/>
      <c r="H1" s="1"/>
      <c r="I1" s="3">
        <f>SUM(I4:I21)</f>
        <v>14370.39</v>
      </c>
    </row>
    <row r="2" spans="1:9" ht="16.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/>
      <c r="H2" s="1" t="s">
        <v>7</v>
      </c>
      <c r="I2" s="1" t="s">
        <v>8</v>
      </c>
    </row>
    <row r="3" spans="1:9" ht="16.5">
      <c r="B3" s="1"/>
    </row>
    <row r="4" spans="1:9" ht="97.5" customHeight="1">
      <c r="A4" s="4">
        <v>1</v>
      </c>
      <c r="B4" s="4" t="s">
        <v>9</v>
      </c>
      <c r="C4" s="4" t="s">
        <v>10</v>
      </c>
      <c r="D4" s="4" t="s">
        <v>11</v>
      </c>
      <c r="E4" s="5"/>
      <c r="F4" s="5"/>
      <c r="G4" s="1"/>
      <c r="H4" s="1" t="s">
        <v>12</v>
      </c>
      <c r="I4" s="3">
        <v>12496</v>
      </c>
    </row>
    <row r="5" spans="1:9" ht="16.5">
      <c r="A5" s="4">
        <v>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18</v>
      </c>
      <c r="H5" s="8" t="s">
        <v>19</v>
      </c>
      <c r="I5" s="1">
        <v>901.39</v>
      </c>
    </row>
    <row r="6" spans="1:9" ht="16.5">
      <c r="A6" s="4">
        <v>3</v>
      </c>
      <c r="B6" s="4" t="s">
        <v>21</v>
      </c>
      <c r="C6" s="4" t="s">
        <v>14</v>
      </c>
      <c r="D6" s="5"/>
      <c r="E6" s="4" t="s">
        <v>22</v>
      </c>
      <c r="F6" s="4" t="s">
        <v>23</v>
      </c>
    </row>
    <row r="7" spans="1:9" ht="16.5">
      <c r="A7" s="4">
        <v>4</v>
      </c>
      <c r="B7" s="4" t="s">
        <v>24</v>
      </c>
      <c r="C7" s="4" t="s">
        <v>25</v>
      </c>
      <c r="D7" s="4" t="s">
        <v>37</v>
      </c>
      <c r="E7" s="4" t="s">
        <v>27</v>
      </c>
      <c r="F7" s="5"/>
      <c r="H7" s="1" t="s">
        <v>29</v>
      </c>
      <c r="I7" s="1">
        <v>973</v>
      </c>
    </row>
    <row r="8" spans="1:9" ht="16.5">
      <c r="A8" s="4">
        <v>5</v>
      </c>
      <c r="B8" s="11" t="s">
        <v>34</v>
      </c>
      <c r="C8" s="4" t="s">
        <v>35</v>
      </c>
      <c r="D8" s="5"/>
      <c r="E8" s="4" t="s">
        <v>36</v>
      </c>
      <c r="F8" s="5"/>
    </row>
    <row r="9" spans="1:9" ht="16.5">
      <c r="A9" s="4">
        <v>6</v>
      </c>
      <c r="B9" s="4" t="s">
        <v>38</v>
      </c>
      <c r="C9" s="4" t="s">
        <v>35</v>
      </c>
      <c r="D9" s="5"/>
      <c r="E9" s="4" t="s">
        <v>36</v>
      </c>
      <c r="F9" s="5"/>
    </row>
    <row r="10" spans="1:9" ht="16.5">
      <c r="A10" s="4">
        <v>7</v>
      </c>
      <c r="B10" s="4" t="s">
        <v>39</v>
      </c>
      <c r="C10" s="4" t="s">
        <v>45</v>
      </c>
      <c r="D10" s="4" t="s">
        <v>46</v>
      </c>
      <c r="E10" s="4" t="s">
        <v>47</v>
      </c>
      <c r="F10" s="4" t="s">
        <v>43</v>
      </c>
    </row>
    <row r="11" spans="1:9" ht="16.5">
      <c r="A11" s="4">
        <v>8</v>
      </c>
      <c r="B11" s="4" t="s">
        <v>48</v>
      </c>
      <c r="C11" s="4" t="s">
        <v>49</v>
      </c>
      <c r="D11" s="5"/>
      <c r="E11" s="5"/>
      <c r="F11" s="4" t="s">
        <v>50</v>
      </c>
    </row>
    <row r="12" spans="1:9" ht="16.5">
      <c r="A12" s="4">
        <v>9</v>
      </c>
      <c r="B12" s="4" t="s">
        <v>51</v>
      </c>
      <c r="C12" s="4" t="s">
        <v>53</v>
      </c>
      <c r="D12" s="4" t="s">
        <v>54</v>
      </c>
      <c r="E12" s="5"/>
      <c r="F12" s="4" t="s">
        <v>55</v>
      </c>
    </row>
    <row r="13" spans="1:9" ht="16.5">
      <c r="A13" s="4">
        <v>10</v>
      </c>
      <c r="B13" s="4" t="s">
        <v>56</v>
      </c>
      <c r="C13" s="4" t="s">
        <v>52</v>
      </c>
      <c r="D13" s="4"/>
      <c r="E13" s="5"/>
      <c r="F13" s="5"/>
    </row>
    <row r="14" spans="1:9" ht="16.5">
      <c r="A14" s="4">
        <v>11</v>
      </c>
      <c r="B14" s="4" t="s">
        <v>62</v>
      </c>
      <c r="C14" s="4" t="s">
        <v>64</v>
      </c>
      <c r="D14" s="4" t="s">
        <v>67</v>
      </c>
      <c r="E14" s="5"/>
      <c r="F14" s="5"/>
    </row>
    <row r="15" spans="1:9" ht="16.5">
      <c r="A15" s="4">
        <v>12</v>
      </c>
      <c r="B15" s="4" t="s">
        <v>69</v>
      </c>
      <c r="C15" s="4" t="s">
        <v>70</v>
      </c>
      <c r="D15" s="4" t="s">
        <v>72</v>
      </c>
      <c r="E15" s="5"/>
      <c r="F15" s="14" t="s">
        <v>71</v>
      </c>
    </row>
    <row r="16" spans="1:9" ht="16.5">
      <c r="A16" s="4">
        <v>13</v>
      </c>
      <c r="B16" s="4" t="s">
        <v>73</v>
      </c>
      <c r="C16" s="4" t="s">
        <v>63</v>
      </c>
      <c r="D16" s="5"/>
      <c r="E16" s="5"/>
      <c r="F16" s="15" t="s">
        <v>74</v>
      </c>
    </row>
    <row r="17" spans="1:6" ht="16.5">
      <c r="A17" s="4">
        <v>14</v>
      </c>
      <c r="B17" s="4" t="s">
        <v>75</v>
      </c>
      <c r="C17" s="4" t="s">
        <v>63</v>
      </c>
      <c r="D17" s="4"/>
      <c r="E17" s="5"/>
      <c r="F17" s="5"/>
    </row>
    <row r="18" spans="1:6" ht="16.5">
      <c r="A18" s="4">
        <v>15</v>
      </c>
      <c r="B18" s="4" t="s">
        <v>78</v>
      </c>
      <c r="C18" s="4" t="s">
        <v>76</v>
      </c>
      <c r="D18" s="4" t="s">
        <v>80</v>
      </c>
      <c r="E18" s="5"/>
      <c r="F18" s="5"/>
    </row>
    <row r="19" spans="1:6" ht="16.5">
      <c r="A19" s="4">
        <v>16</v>
      </c>
      <c r="B19" s="4" t="s">
        <v>82</v>
      </c>
      <c r="C19" s="4" t="s">
        <v>14</v>
      </c>
      <c r="D19" s="5"/>
      <c r="E19" s="5"/>
      <c r="F19" s="5"/>
    </row>
    <row r="20" spans="1:6" ht="16.5">
      <c r="A20" s="4">
        <v>17</v>
      </c>
      <c r="B20" s="4" t="s">
        <v>83</v>
      </c>
      <c r="C20" s="4" t="s">
        <v>84</v>
      </c>
      <c r="D20" s="4" t="s">
        <v>85</v>
      </c>
      <c r="E20" s="5"/>
      <c r="F20" s="5"/>
    </row>
    <row r="21" spans="1:6" ht="16.5">
      <c r="A21" s="4">
        <v>18</v>
      </c>
      <c r="B21" s="4" t="s">
        <v>87</v>
      </c>
      <c r="C21" s="4" t="s">
        <v>88</v>
      </c>
      <c r="D21" s="4" t="s">
        <v>89</v>
      </c>
      <c r="E21" s="5"/>
      <c r="F21" s="5"/>
    </row>
  </sheetData>
  <conditionalFormatting sqref="B5:B21">
    <cfRule type="notContainsBlanks" dxfId="2" priority="1">
      <formula>LEN(TRIM(B5))&gt;0</formula>
    </cfRule>
  </conditionalFormatting>
  <conditionalFormatting sqref="B4:B21">
    <cfRule type="notContainsBlanks" dxfId="1" priority="2">
      <formula>LEN(TRIM(B4))&gt;0</formula>
    </cfRule>
  </conditionalFormatting>
  <conditionalFormatting sqref="B4:B21">
    <cfRule type="timePeriod" dxfId="0" priority="3" timePeriod="today">
      <formula>FLOOR(B4,1)=TODAY()</formula>
    </cfRule>
  </conditionalFormatting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25" defaultRowHeight="15" customHeight="1"/>
  <cols>
    <col min="1" max="1" width="10.375" customWidth="1"/>
    <col min="2" max="2" width="9.625" customWidth="1"/>
    <col min="3" max="3" width="9.75" customWidth="1"/>
    <col min="4" max="26" width="8.75" customWidth="1"/>
  </cols>
  <sheetData>
    <row r="1" spans="1:26" ht="12.75" customHeight="1">
      <c r="A1" s="24" t="s">
        <v>90</v>
      </c>
      <c r="B1" s="12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2.75" customHeight="1">
      <c r="A2" s="25">
        <v>2010</v>
      </c>
      <c r="B2" s="12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2.75" customHeight="1">
      <c r="A3" s="25">
        <v>2011</v>
      </c>
      <c r="B3" s="12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2.75" customHeight="1">
      <c r="A4" s="25">
        <v>2012</v>
      </c>
      <c r="B4" s="12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2.75" customHeight="1">
      <c r="A5" s="25">
        <v>2013</v>
      </c>
      <c r="B5" s="12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2.75" customHeight="1">
      <c r="A6" s="25">
        <v>2014</v>
      </c>
      <c r="B6" s="12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2.75" customHeight="1">
      <c r="A7" s="25">
        <v>2015</v>
      </c>
      <c r="B7" s="12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2.75" customHeight="1">
      <c r="A8" s="25">
        <v>2016</v>
      </c>
      <c r="B8" s="12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2.75" customHeight="1">
      <c r="A9" s="25">
        <v>2017</v>
      </c>
      <c r="B9" s="12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2.75" customHeight="1">
      <c r="A10" s="25">
        <v>2018</v>
      </c>
      <c r="B10" s="12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2.75" customHeight="1">
      <c r="A11" s="12"/>
      <c r="B11" s="12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2.75" customHeight="1">
      <c r="A12" s="12"/>
      <c r="B12" s="12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2.75" customHeight="1">
      <c r="A13" s="12"/>
      <c r="B13" s="12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2.75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2.75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2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2.75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2.75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2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2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2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2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2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2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2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2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2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2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2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2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2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2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2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2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2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2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2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2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2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2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2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2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2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2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2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2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2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2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2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2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2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2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2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2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2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2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2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2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2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2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2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2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2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2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2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2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2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2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2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2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2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2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2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2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2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2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2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2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2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2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2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2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2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2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2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2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2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2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2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2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2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2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2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2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2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2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2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2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2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2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2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2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2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2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2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2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2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2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2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2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2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2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2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2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2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2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2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2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2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2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2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2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2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2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2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2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2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2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2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2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2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2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2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2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2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2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2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2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2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2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2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2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2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2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2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2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2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2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2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2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2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2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2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2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2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2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2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2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2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2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2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2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2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2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2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2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2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2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2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2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2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2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2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2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2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2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2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2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2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2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2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2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2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2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2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2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2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2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2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2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2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2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2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2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2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2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2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2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2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2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2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2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2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2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2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2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2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2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2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2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2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2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2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2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2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2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2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2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2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2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2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2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2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2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2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2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2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2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2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2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2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2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2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2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2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2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2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2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2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2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2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2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2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2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2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2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2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2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2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2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2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2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2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2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2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2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2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2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2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2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2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2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2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2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2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2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2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2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2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2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2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2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2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2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2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2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2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2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2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2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2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2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2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2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2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2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2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2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2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2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2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2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2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2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2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2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2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2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2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2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2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2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2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2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2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2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2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2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2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2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2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2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2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2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2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2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2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2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2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2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2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2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2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2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2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2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2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2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2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2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2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2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2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2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2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2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2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2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2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2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2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2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2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2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2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2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2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2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2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2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2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2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2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2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2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2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2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2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2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2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2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2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2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2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2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2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2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2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2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2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2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2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2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2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2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2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2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2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2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2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2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2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2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2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2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2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2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2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2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2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2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2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2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2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2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2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2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2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2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2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2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2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2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2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2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2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2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2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2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2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2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2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2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2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2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2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2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2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2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2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2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2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2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2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2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2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2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2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2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2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2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2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2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2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2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2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2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2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2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2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2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2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2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2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2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2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2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2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2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2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2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2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2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2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2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2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2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2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2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2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2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2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2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2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2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2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2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2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2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2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2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2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2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2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2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2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2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2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2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2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2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2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2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2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2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2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2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2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2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2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2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2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2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2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2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2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2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2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2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2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2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2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2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2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2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2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2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2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2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2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2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2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2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2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2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2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2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2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2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2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2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2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2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2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2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2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2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2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2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2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2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2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2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2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2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2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2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2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2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2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2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2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2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2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2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2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2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2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2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2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2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2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2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2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2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2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2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2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2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2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2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2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2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2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2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2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2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2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2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2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2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2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2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2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2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2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2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2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2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2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2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2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2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2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2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2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2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2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2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2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2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2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2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2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2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2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2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2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2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2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2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2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2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2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2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2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2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2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2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2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2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2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2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2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2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2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2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2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2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2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2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2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2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2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2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2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2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2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2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2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2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2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2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2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2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2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2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2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2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2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2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2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2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2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2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2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2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2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2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2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2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2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2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2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2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2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2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2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2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2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2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2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2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2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2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2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2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2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2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2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2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2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2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2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2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2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2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2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2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2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2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2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2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2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2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2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2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2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2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2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2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2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2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2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2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2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2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2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2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2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2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2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2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2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2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2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2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2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2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2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2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2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2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2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2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2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2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2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2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2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2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2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2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2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2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2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2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2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2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2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2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2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2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2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2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2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2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2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2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2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2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2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2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2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2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2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2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2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2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2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2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2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2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2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2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2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2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2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2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2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2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2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2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2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2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2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2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2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2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2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2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2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2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2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2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2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2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2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2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2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2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2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2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2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2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2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2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2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2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2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2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2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2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2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2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2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2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2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2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2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2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2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2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2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2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2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2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2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2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2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2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2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2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2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2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2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2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2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2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2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2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2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2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2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2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2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2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2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2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2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2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2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2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2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2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2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2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2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2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2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2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2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2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2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2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2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2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2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2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2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2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2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2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2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2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2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2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2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2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2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2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2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2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2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2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2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2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2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2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2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2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2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2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2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2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2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2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2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2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2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2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2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2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2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2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2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2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2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2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2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2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2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2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2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2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2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2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2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2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2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2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2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2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2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2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2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2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2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2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2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2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2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2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2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2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2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2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2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2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2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2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2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2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2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2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2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2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2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2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2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2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2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2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2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2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2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2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2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2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2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2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2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2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2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2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2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2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2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2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2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2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2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2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2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2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2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2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2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2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2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2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2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2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2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2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2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2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2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2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2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2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2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2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2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2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2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2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2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2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2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2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2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2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2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2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2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2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2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2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2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2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2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2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2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2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2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2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2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2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pageMargins left="0.7" right="0.7" top="0.75" bottom="0.75" header="0" footer="0"/>
  <pageSetup orientation="landscape"/>
  <legacyDrawing r:id="rId1"/>
  <tableParts count="1">
    <tablePart r:id="rId2"/>
  </tableParts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1000"/>
  <sheetViews>
    <sheetView topLeftCell="B1" workbookViewId="0"/>
  </sheetViews>
  <sheetFormatPr defaultColWidth="12.625" defaultRowHeight="15" customHeight="1"/>
  <cols>
    <col min="1" max="2" width="10.625" customWidth="1"/>
    <col min="3" max="3" width="15.25" customWidth="1"/>
    <col min="4" max="4" width="8.75" customWidth="1"/>
    <col min="5" max="5" width="10.625" customWidth="1"/>
    <col min="6" max="6" width="14.375" customWidth="1"/>
    <col min="7" max="26" width="10.625" customWidth="1"/>
  </cols>
  <sheetData>
    <row r="1" spans="3:15" ht="13.5" customHeight="1"/>
    <row r="2" spans="3:15" ht="13.5" customHeight="1"/>
    <row r="3" spans="3:15" ht="13.5" customHeight="1">
      <c r="N3" t="s">
        <v>91</v>
      </c>
    </row>
    <row r="4" spans="3:15" ht="13.5" customHeight="1">
      <c r="C4" t="s">
        <v>92</v>
      </c>
      <c r="N4">
        <f>3124*4</f>
        <v>12496</v>
      </c>
      <c r="O4">
        <f>N4/4</f>
        <v>3124</v>
      </c>
    </row>
    <row r="5" spans="3:15" ht="13.5" customHeight="1">
      <c r="M5" t="s">
        <v>93</v>
      </c>
    </row>
    <row r="6" spans="3:15" ht="13.5" customHeight="1">
      <c r="E6" s="26" t="s">
        <v>94</v>
      </c>
      <c r="F6" s="26" t="s">
        <v>95</v>
      </c>
      <c r="G6" s="26" t="s">
        <v>96</v>
      </c>
      <c r="H6" s="26" t="s">
        <v>95</v>
      </c>
      <c r="I6" s="26" t="s">
        <v>92</v>
      </c>
      <c r="J6" s="26" t="s">
        <v>95</v>
      </c>
      <c r="K6" s="26" t="s">
        <v>97</v>
      </c>
      <c r="L6" s="26" t="s">
        <v>95</v>
      </c>
    </row>
    <row r="7" spans="3:15" ht="13.5" customHeight="1">
      <c r="C7" s="27" t="s">
        <v>98</v>
      </c>
      <c r="D7" s="28" t="s">
        <v>99</v>
      </c>
      <c r="E7" s="27">
        <v>200</v>
      </c>
      <c r="F7" s="27" t="s">
        <v>100</v>
      </c>
      <c r="I7">
        <f>54*4.8</f>
        <v>259.2</v>
      </c>
      <c r="J7" t="s">
        <v>101</v>
      </c>
      <c r="M7">
        <f t="shared" ref="M7:M8" si="0">E7*4</f>
        <v>800</v>
      </c>
    </row>
    <row r="8" spans="3:15" ht="13.5" customHeight="1">
      <c r="C8" s="29" t="s">
        <v>102</v>
      </c>
      <c r="D8" t="s">
        <v>103</v>
      </c>
      <c r="E8" s="27">
        <f>40*4.8</f>
        <v>192</v>
      </c>
      <c r="F8" s="27" t="s">
        <v>104</v>
      </c>
      <c r="H8">
        <v>13</v>
      </c>
      <c r="M8">
        <f t="shared" si="0"/>
        <v>768</v>
      </c>
    </row>
    <row r="9" spans="3:15" ht="13.5" customHeight="1">
      <c r="C9" s="29" t="s">
        <v>105</v>
      </c>
      <c r="D9" s="1" t="s">
        <v>106</v>
      </c>
      <c r="G9" s="1">
        <f>M9/4</f>
        <v>192.5</v>
      </c>
      <c r="H9" s="1">
        <v>12</v>
      </c>
      <c r="I9" s="27"/>
      <c r="J9" s="27"/>
      <c r="M9" s="1">
        <v>770</v>
      </c>
    </row>
    <row r="10" spans="3:15" ht="13.5" customHeight="1">
      <c r="J10" s="30"/>
      <c r="M10">
        <f>I10*4</f>
        <v>0</v>
      </c>
    </row>
    <row r="11" spans="3:15" ht="13.5" customHeight="1">
      <c r="C11" s="1" t="s">
        <v>107</v>
      </c>
      <c r="D11" s="1" t="s">
        <v>108</v>
      </c>
      <c r="I11">
        <f>M11/4</f>
        <v>518.4</v>
      </c>
      <c r="J11" s="1" t="s">
        <v>109</v>
      </c>
      <c r="M11">
        <f>432*4.8</f>
        <v>2073.6</v>
      </c>
    </row>
    <row r="12" spans="3:15" ht="13.5" customHeight="1">
      <c r="C12" s="27" t="s">
        <v>110</v>
      </c>
      <c r="M12">
        <f>250*4</f>
        <v>1000</v>
      </c>
    </row>
    <row r="13" spans="3:15" ht="13.5" customHeight="1">
      <c r="C13" s="27" t="s">
        <v>111</v>
      </c>
      <c r="M13">
        <f>430*4</f>
        <v>1720</v>
      </c>
    </row>
    <row r="14" spans="3:15" ht="13.5" customHeight="1">
      <c r="C14" s="27"/>
      <c r="I14" s="27"/>
      <c r="J14" s="27"/>
    </row>
    <row r="15" spans="3:15" ht="13.5" customHeight="1">
      <c r="M15">
        <f>SUM(M7:M13)</f>
        <v>7131.6</v>
      </c>
      <c r="N15">
        <f>N4+M15</f>
        <v>19627.599999999999</v>
      </c>
    </row>
    <row r="16" spans="3:15" ht="13.5" customHeight="1"/>
    <row r="17" spans="3:15" ht="13.5" customHeight="1">
      <c r="M17" t="s">
        <v>114</v>
      </c>
      <c r="N17">
        <f>Hotels!F12</f>
        <v>5925.0643478260872</v>
      </c>
    </row>
    <row r="18" spans="3:15" ht="13.5" customHeight="1"/>
    <row r="19" spans="3:15" ht="13.5" customHeight="1"/>
    <row r="20" spans="3:15" ht="13.5" customHeight="1">
      <c r="M20" t="s">
        <v>115</v>
      </c>
      <c r="O20">
        <f>N17+N15</f>
        <v>25552.664347826085</v>
      </c>
    </row>
    <row r="21" spans="3:15" ht="13.5" customHeight="1"/>
    <row r="22" spans="3:15" ht="13.5" customHeight="1"/>
    <row r="23" spans="3:15" ht="13.5" customHeight="1"/>
    <row r="24" spans="3:15" ht="13.5" customHeight="1"/>
    <row r="25" spans="3:15" ht="13.5" customHeight="1"/>
    <row r="26" spans="3:15" ht="13.5" customHeight="1"/>
    <row r="27" spans="3:15" ht="13.5" customHeight="1"/>
    <row r="28" spans="3:15" ht="13.5" customHeight="1">
      <c r="C28" t="s">
        <v>116</v>
      </c>
      <c r="F28" t="s">
        <v>117</v>
      </c>
    </row>
    <row r="29" spans="3:15" ht="13.5" customHeight="1">
      <c r="C29" t="s">
        <v>118</v>
      </c>
    </row>
    <row r="30" spans="3:15" ht="13.5" customHeight="1">
      <c r="F30" t="s">
        <v>120</v>
      </c>
      <c r="G30" t="s">
        <v>121</v>
      </c>
    </row>
    <row r="31" spans="3:15" ht="13.5" customHeight="1">
      <c r="F31" t="s">
        <v>125</v>
      </c>
      <c r="G31" t="s">
        <v>52</v>
      </c>
    </row>
    <row r="32" spans="3:15" ht="13.5" customHeight="1">
      <c r="C32" t="s">
        <v>128</v>
      </c>
      <c r="F32" t="s">
        <v>129</v>
      </c>
    </row>
    <row r="33" spans="3:3" ht="13.5" customHeight="1"/>
    <row r="34" spans="3:3" ht="13.5" customHeight="1">
      <c r="C34" s="18" t="s">
        <v>130</v>
      </c>
    </row>
    <row r="35" spans="3:3" ht="13.5" customHeight="1">
      <c r="C35" s="18" t="s">
        <v>131</v>
      </c>
    </row>
    <row r="36" spans="3:3" ht="13.5" customHeight="1"/>
    <row r="37" spans="3:3" ht="13.5" customHeight="1"/>
    <row r="38" spans="3:3" ht="13.5" customHeight="1"/>
    <row r="39" spans="3:3" ht="13.5" customHeight="1"/>
    <row r="40" spans="3:3" ht="13.5" customHeight="1"/>
    <row r="41" spans="3:3" ht="13.5" customHeight="1"/>
    <row r="42" spans="3:3" ht="13.5" customHeight="1"/>
    <row r="43" spans="3:3" ht="13.5" customHeight="1"/>
    <row r="44" spans="3:3" ht="13.5" customHeight="1"/>
    <row r="45" spans="3:3" ht="13.5" customHeight="1"/>
    <row r="46" spans="3:3" ht="13.5" customHeight="1"/>
    <row r="47" spans="3:3" ht="13.5" customHeight="1"/>
    <row r="48" spans="3:3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5" right="0.75" top="1" bottom="1" header="0" footer="0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001"/>
  <sheetViews>
    <sheetView workbookViewId="0">
      <selection activeCell="D1" sqref="D1"/>
    </sheetView>
  </sheetViews>
  <sheetFormatPr defaultColWidth="12.625" defaultRowHeight="15" customHeight="1"/>
  <cols>
    <col min="1" max="3" width="10.625" customWidth="1"/>
    <col min="4" max="4" width="27.125" customWidth="1"/>
    <col min="5" max="26" width="10.625" customWidth="1"/>
  </cols>
  <sheetData>
    <row r="1" spans="2:7" ht="13.5" customHeight="1"/>
    <row r="2" spans="2:7" ht="13.5" customHeight="1">
      <c r="C2" t="s">
        <v>138</v>
      </c>
      <c r="D2" t="s">
        <v>139</v>
      </c>
      <c r="E2" t="s">
        <v>140</v>
      </c>
      <c r="F2" t="s">
        <v>91</v>
      </c>
    </row>
    <row r="3" spans="2:7" ht="13.5" customHeight="1">
      <c r="B3" t="s">
        <v>119</v>
      </c>
      <c r="C3">
        <f>450/4.14</f>
        <v>108.69565217391305</v>
      </c>
      <c r="D3">
        <v>2</v>
      </c>
      <c r="E3">
        <f>D3*C3</f>
        <v>217.39130434782609</v>
      </c>
      <c r="F3" s="1">
        <v>901</v>
      </c>
    </row>
    <row r="4" spans="2:7" ht="13.5" customHeight="1">
      <c r="B4" t="s">
        <v>123</v>
      </c>
      <c r="C4">
        <f>E4/D4</f>
        <v>78.861788617886177</v>
      </c>
      <c r="D4" s="1">
        <v>3</v>
      </c>
      <c r="E4">
        <f t="shared" ref="E4:E7" si="0">F4/4.1</f>
        <v>236.58536585365854</v>
      </c>
      <c r="F4" s="1">
        <v>970</v>
      </c>
    </row>
    <row r="5" spans="2:7" ht="13.5" customHeight="1">
      <c r="B5" s="1" t="s">
        <v>141</v>
      </c>
      <c r="C5">
        <f>E5/3</f>
        <v>80.894308943089442</v>
      </c>
      <c r="D5" s="1">
        <v>3</v>
      </c>
      <c r="E5">
        <f t="shared" si="0"/>
        <v>242.68292682926833</v>
      </c>
      <c r="F5" s="1">
        <v>995</v>
      </c>
    </row>
    <row r="6" spans="2:7" ht="13.5" customHeight="1">
      <c r="B6" s="1" t="s">
        <v>63</v>
      </c>
      <c r="C6">
        <f t="shared" ref="C6:C7" si="1">E6/D6</f>
        <v>121.85040650406505</v>
      </c>
      <c r="D6">
        <v>3</v>
      </c>
      <c r="E6">
        <f t="shared" si="0"/>
        <v>365.55121951219513</v>
      </c>
      <c r="F6" s="1">
        <v>1498.76</v>
      </c>
      <c r="G6" s="1" t="s">
        <v>142</v>
      </c>
    </row>
    <row r="7" spans="2:7" ht="13.5" customHeight="1">
      <c r="B7" s="1" t="s">
        <v>119</v>
      </c>
      <c r="C7">
        <f t="shared" si="1"/>
        <v>127.64227642276423</v>
      </c>
      <c r="D7" s="1">
        <v>3</v>
      </c>
      <c r="E7">
        <f t="shared" si="0"/>
        <v>382.92682926829269</v>
      </c>
      <c r="F7" s="1">
        <v>1570</v>
      </c>
      <c r="G7" s="1" t="s">
        <v>143</v>
      </c>
    </row>
    <row r="8" spans="2:7" ht="13.5" customHeight="1"/>
    <row r="9" spans="2:7" ht="13.5" customHeight="1">
      <c r="B9" t="s">
        <v>144</v>
      </c>
      <c r="D9">
        <v>2</v>
      </c>
      <c r="E9">
        <v>200</v>
      </c>
    </row>
    <row r="10" spans="2:7" ht="13.5" customHeight="1">
      <c r="B10" t="s">
        <v>145</v>
      </c>
      <c r="C10">
        <v>100</v>
      </c>
      <c r="D10">
        <v>2</v>
      </c>
      <c r="E10">
        <f>D10*C10</f>
        <v>200</v>
      </c>
    </row>
    <row r="11" spans="2:7" ht="13.5" customHeight="1">
      <c r="B11" t="s">
        <v>119</v>
      </c>
      <c r="C11" t="s">
        <v>146</v>
      </c>
      <c r="D11">
        <v>2</v>
      </c>
      <c r="E11">
        <v>220</v>
      </c>
    </row>
    <row r="12" spans="2:7" ht="13.5" customHeight="1">
      <c r="D12">
        <f>SUM(D3:D11)</f>
        <v>20</v>
      </c>
      <c r="E12">
        <f>SUM(E3:E7)</f>
        <v>1445.1376458112409</v>
      </c>
      <c r="F12">
        <f>E12*4.1</f>
        <v>5925.0643478260872</v>
      </c>
    </row>
    <row r="13" spans="2:7" ht="13.5" customHeight="1">
      <c r="B13" t="s">
        <v>2</v>
      </c>
      <c r="C13" t="s">
        <v>3</v>
      </c>
      <c r="D13" t="s">
        <v>147</v>
      </c>
      <c r="E13" t="s">
        <v>148</v>
      </c>
      <c r="F13" t="s">
        <v>149</v>
      </c>
    </row>
    <row r="14" spans="2:7" ht="13.5" customHeight="1">
      <c r="B14" t="s">
        <v>150</v>
      </c>
      <c r="C14" t="s">
        <v>119</v>
      </c>
      <c r="D14" t="s">
        <v>151</v>
      </c>
      <c r="E14">
        <v>901</v>
      </c>
      <c r="F14">
        <f>E14/2</f>
        <v>450.5</v>
      </c>
    </row>
    <row r="15" spans="2:7" ht="13.5" customHeight="1">
      <c r="B15" s="1" t="s">
        <v>152</v>
      </c>
      <c r="C15" t="s">
        <v>123</v>
      </c>
      <c r="D15" s="1" t="s">
        <v>153</v>
      </c>
      <c r="E15">
        <f>202*4.8</f>
        <v>969.59999999999991</v>
      </c>
      <c r="F15">
        <f t="shared" ref="F15:F17" si="2">E15/3</f>
        <v>323.2</v>
      </c>
    </row>
    <row r="16" spans="2:7" ht="13.5" customHeight="1">
      <c r="B16" s="1" t="s">
        <v>154</v>
      </c>
      <c r="C16" s="1" t="s">
        <v>141</v>
      </c>
      <c r="D16" s="1" t="s">
        <v>155</v>
      </c>
      <c r="E16" s="1">
        <v>995</v>
      </c>
      <c r="F16">
        <f t="shared" si="2"/>
        <v>331.66666666666669</v>
      </c>
    </row>
    <row r="17" spans="2:9" ht="13.5" customHeight="1">
      <c r="B17" s="1" t="s">
        <v>156</v>
      </c>
      <c r="C17" s="1" t="s">
        <v>63</v>
      </c>
      <c r="D17" s="1" t="s">
        <v>157</v>
      </c>
      <c r="E17" s="1">
        <v>1498.76</v>
      </c>
      <c r="F17">
        <f t="shared" si="2"/>
        <v>499.58666666666664</v>
      </c>
      <c r="G17" s="1" t="s">
        <v>142</v>
      </c>
    </row>
    <row r="18" spans="2:9" ht="13.5" customHeight="1">
      <c r="B18" s="1" t="s">
        <v>158</v>
      </c>
      <c r="C18" s="1" t="s">
        <v>119</v>
      </c>
    </row>
    <row r="19" spans="2:9" ht="13.5" customHeight="1"/>
    <row r="20" spans="2:9" ht="13.5" customHeight="1"/>
    <row r="21" spans="2:9" ht="13.5" customHeight="1"/>
    <row r="22" spans="2:9" ht="13.5" customHeight="1"/>
    <row r="23" spans="2:9" ht="13.5" customHeight="1"/>
    <row r="24" spans="2:9" ht="13.5" customHeight="1"/>
    <row r="25" spans="2:9" ht="13.5" customHeight="1"/>
    <row r="26" spans="2:9" ht="13.5" customHeight="1"/>
    <row r="27" spans="2:9" ht="13.5" customHeight="1"/>
    <row r="28" spans="2:9" ht="13.5" customHeight="1"/>
    <row r="29" spans="2:9" ht="13.5" customHeight="1">
      <c r="C29" t="s">
        <v>159</v>
      </c>
      <c r="D29" t="s">
        <v>160</v>
      </c>
      <c r="H29" t="s">
        <v>161</v>
      </c>
    </row>
    <row r="30" spans="2:9" ht="13.5" customHeight="1">
      <c r="D30" t="s">
        <v>162</v>
      </c>
      <c r="H30" t="s">
        <v>163</v>
      </c>
    </row>
    <row r="31" spans="2:9" ht="13.5" customHeight="1">
      <c r="D31" t="s">
        <v>164</v>
      </c>
      <c r="H31" t="s">
        <v>165</v>
      </c>
    </row>
    <row r="32" spans="2:9" ht="13.5" customHeight="1">
      <c r="D32" t="s">
        <v>166</v>
      </c>
      <c r="H32" t="s">
        <v>167</v>
      </c>
      <c r="I32" t="s">
        <v>168</v>
      </c>
    </row>
    <row r="33" spans="3:8" ht="13.5" customHeight="1">
      <c r="D33" t="s">
        <v>169</v>
      </c>
      <c r="H33" t="s">
        <v>170</v>
      </c>
    </row>
    <row r="34" spans="3:8" ht="13.5" customHeight="1"/>
    <row r="35" spans="3:8" ht="13.5" customHeight="1"/>
    <row r="36" spans="3:8" ht="13.5" customHeight="1"/>
    <row r="37" spans="3:8" ht="13.5" customHeight="1">
      <c r="C37" t="s">
        <v>171</v>
      </c>
      <c r="D37" t="s">
        <v>172</v>
      </c>
    </row>
    <row r="38" spans="3:8" ht="13.5" customHeight="1">
      <c r="D38" t="s">
        <v>173</v>
      </c>
    </row>
    <row r="39" spans="3:8" ht="13.5" customHeight="1">
      <c r="D39" t="s">
        <v>174</v>
      </c>
    </row>
    <row r="40" spans="3:8" ht="13.5" customHeight="1">
      <c r="D40" t="s">
        <v>175</v>
      </c>
    </row>
    <row r="41" spans="3:8" ht="13.5" customHeight="1">
      <c r="D41" t="s">
        <v>176</v>
      </c>
      <c r="H41" t="s">
        <v>177</v>
      </c>
    </row>
    <row r="42" spans="3:8" ht="13.5" customHeight="1"/>
    <row r="43" spans="3:8" ht="13.5" customHeight="1">
      <c r="C43" t="s">
        <v>178</v>
      </c>
      <c r="D43" t="s">
        <v>179</v>
      </c>
      <c r="H43" s="38">
        <v>201</v>
      </c>
    </row>
    <row r="44" spans="3:8" ht="13.5" customHeight="1">
      <c r="D44" t="s">
        <v>180</v>
      </c>
      <c r="H44" t="s">
        <v>181</v>
      </c>
    </row>
    <row r="45" spans="3:8" ht="13.5" customHeight="1">
      <c r="D45" t="s">
        <v>182</v>
      </c>
    </row>
    <row r="46" spans="3:8" ht="13.5" customHeight="1">
      <c r="D46" t="s">
        <v>183</v>
      </c>
      <c r="H46" t="s">
        <v>184</v>
      </c>
    </row>
    <row r="47" spans="3:8" ht="13.5" customHeight="1"/>
    <row r="48" spans="3:8" ht="13.5" customHeight="1"/>
    <row r="49" spans="3:4" ht="13.5" customHeight="1"/>
    <row r="50" spans="3:4" ht="13.5" customHeight="1">
      <c r="C50" t="s">
        <v>63</v>
      </c>
      <c r="D50" t="s">
        <v>185</v>
      </c>
    </row>
    <row r="51" spans="3:4" ht="13.5" customHeight="1">
      <c r="D51" t="s">
        <v>186</v>
      </c>
    </row>
    <row r="52" spans="3:4" ht="13.5" customHeight="1">
      <c r="D52" t="s">
        <v>187</v>
      </c>
    </row>
    <row r="53" spans="3:4" ht="13.5" customHeight="1"/>
    <row r="54" spans="3:4" ht="13.5" customHeight="1"/>
    <row r="55" spans="3:4" ht="13.5" customHeight="1"/>
    <row r="56" spans="3:4" ht="13.5" customHeight="1"/>
    <row r="57" spans="3:4" ht="13.5" customHeight="1"/>
    <row r="58" spans="3:4" ht="13.5" customHeight="1"/>
    <row r="59" spans="3:4" ht="13.5" customHeight="1"/>
    <row r="60" spans="3:4" ht="13.5" customHeight="1"/>
    <row r="61" spans="3:4" ht="13.5" customHeight="1"/>
    <row r="62" spans="3:4" ht="13.5" customHeight="1"/>
    <row r="63" spans="3:4" ht="13.5" customHeight="1"/>
    <row r="64" spans="3: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pageMargins left="0.75" right="0.75" top="1" bottom="1" header="0" footer="0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000"/>
  <sheetViews>
    <sheetView workbookViewId="0">
      <selection activeCell="F12" sqref="F12"/>
    </sheetView>
  </sheetViews>
  <sheetFormatPr defaultColWidth="12.625" defaultRowHeight="15" customHeight="1"/>
  <cols>
    <col min="1" max="2" width="10.625" customWidth="1"/>
    <col min="3" max="3" width="38" customWidth="1"/>
    <col min="4" max="4" width="25.25" customWidth="1"/>
    <col min="5" max="5" width="17.625" customWidth="1"/>
    <col min="6" max="6" width="16.25" customWidth="1"/>
    <col min="7" max="26" width="10.625" customWidth="1"/>
  </cols>
  <sheetData>
    <row r="1" spans="2:6" ht="13.5" customHeight="1"/>
    <row r="2" spans="2:6" ht="13.5" customHeight="1"/>
    <row r="3" spans="2:6" ht="13.5" customHeight="1"/>
    <row r="4" spans="2:6" ht="13.5" customHeight="1"/>
    <row r="5" spans="2:6" ht="13.5" customHeight="1"/>
    <row r="6" spans="2:6" ht="13.5" customHeight="1">
      <c r="C6" s="39" t="s">
        <v>188</v>
      </c>
      <c r="D6" s="39" t="s">
        <v>189</v>
      </c>
      <c r="E6" s="39" t="s">
        <v>190</v>
      </c>
      <c r="F6" s="39" t="s">
        <v>191</v>
      </c>
    </row>
    <row r="7" spans="2:6" ht="13.5" customHeight="1">
      <c r="B7" t="s">
        <v>192</v>
      </c>
      <c r="C7" t="s">
        <v>193</v>
      </c>
      <c r="D7" t="s">
        <v>194</v>
      </c>
      <c r="E7" t="s">
        <v>195</v>
      </c>
    </row>
    <row r="8" spans="2:6" ht="13.5" customHeight="1">
      <c r="B8" t="s">
        <v>35</v>
      </c>
      <c r="C8" t="s">
        <v>196</v>
      </c>
    </row>
    <row r="9" spans="2:6" ht="13.5" customHeight="1">
      <c r="B9" t="s">
        <v>171</v>
      </c>
    </row>
    <row r="10" spans="2:6" ht="13.5" customHeight="1">
      <c r="B10" t="s">
        <v>197</v>
      </c>
    </row>
    <row r="11" spans="2:6" ht="13.5" customHeight="1">
      <c r="B11" t="s">
        <v>198</v>
      </c>
      <c r="C11" t="s">
        <v>199</v>
      </c>
    </row>
    <row r="12" spans="2:6" ht="13.5" customHeight="1">
      <c r="B12" t="s">
        <v>52</v>
      </c>
      <c r="F12" t="s">
        <v>200</v>
      </c>
    </row>
    <row r="13" spans="2:6" ht="13.5" customHeight="1">
      <c r="B13" t="s">
        <v>63</v>
      </c>
      <c r="C13" t="s">
        <v>201</v>
      </c>
    </row>
    <row r="14" spans="2:6" ht="13.5" customHeight="1">
      <c r="B14" t="s">
        <v>202</v>
      </c>
      <c r="C14" t="s">
        <v>203</v>
      </c>
    </row>
    <row r="15" spans="2:6" ht="13.5" customHeight="1"/>
    <row r="16" spans="2: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5" right="0.75" top="1" bottom="1" header="0" footer="0"/>
  <pageSetup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000"/>
  <sheetViews>
    <sheetView workbookViewId="0"/>
  </sheetViews>
  <sheetFormatPr defaultColWidth="12.625" defaultRowHeight="15" customHeight="1"/>
  <cols>
    <col min="1" max="1" width="10.625" customWidth="1"/>
    <col min="2" max="2" width="32.75" customWidth="1"/>
    <col min="3" max="26" width="10.625" customWidth="1"/>
  </cols>
  <sheetData>
    <row r="1" spans="2:4" ht="13.5" customHeight="1"/>
    <row r="2" spans="2:4" ht="13.5" customHeight="1"/>
    <row r="3" spans="2:4" ht="13.5" customHeight="1">
      <c r="B3" t="s">
        <v>204</v>
      </c>
      <c r="C3" t="s">
        <v>205</v>
      </c>
    </row>
    <row r="4" spans="2:4" ht="13.5" customHeight="1">
      <c r="B4" t="s">
        <v>206</v>
      </c>
      <c r="C4" t="s">
        <v>207</v>
      </c>
      <c r="D4" t="s">
        <v>208</v>
      </c>
    </row>
    <row r="5" spans="2:4" ht="13.5" customHeight="1"/>
    <row r="6" spans="2:4" ht="13.5" customHeight="1"/>
    <row r="7" spans="2:4" ht="13.5" customHeight="1"/>
    <row r="8" spans="2:4" ht="13.5" customHeight="1"/>
    <row r="9" spans="2:4" ht="13.5" customHeight="1"/>
    <row r="10" spans="2:4" ht="13.5" customHeight="1"/>
    <row r="11" spans="2:4" ht="13.5" customHeight="1"/>
    <row r="12" spans="2:4" ht="13.5" customHeight="1"/>
    <row r="13" spans="2:4" ht="13.5" customHeight="1"/>
    <row r="14" spans="2:4" ht="13.5" customHeight="1"/>
    <row r="15" spans="2:4" ht="13.5" customHeight="1"/>
    <row r="16" spans="2:4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5" right="0.75" top="1" bottom="1" header="0" footer="0"/>
  <pageSetup orientation="landscape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Dec</vt:lpstr>
      <vt:lpstr>2018 Dec Spain</vt:lpstr>
      <vt:lpstr>V3</vt:lpstr>
      <vt:lpstr>Lookup List</vt:lpstr>
      <vt:lpstr>Transport</vt:lpstr>
      <vt:lpstr>Hotels</vt:lpstr>
      <vt:lpstr>Things to do</vt:lpstr>
      <vt:lpstr>Barca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Cheah, Siew Keng</dc:creator>
  <cp:lastModifiedBy>Cheah, Siew Keng</cp:lastModifiedBy>
  <dcterms:created xsi:type="dcterms:W3CDTF">2018-12-08T07:26:34Z</dcterms:created>
  <dcterms:modified xsi:type="dcterms:W3CDTF">2018-12-09T09:44:21Z</dcterms:modified>
</cp:coreProperties>
</file>